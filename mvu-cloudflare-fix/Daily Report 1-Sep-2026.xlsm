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ublicuser\Downloads\"/>
    </mc:Choice>
  </mc:AlternateContent>
  <xr:revisionPtr revIDLastSave="0" documentId="8_{14614134-3263-4296-A806-43B637FDC6DE}" xr6:coauthVersionLast="47" xr6:coauthVersionMax="47" xr10:uidLastSave="{00000000-0000-0000-0000-000000000000}"/>
  <bookViews>
    <workbookView xWindow="-108" yWindow="-108" windowWidth="23256" windowHeight="12456" tabRatio="602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Sheet1!$A$2:$N$470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6" i="1" l="1"/>
  <c r="M463" i="1"/>
  <c r="M455" i="1"/>
  <c r="M449" i="1"/>
  <c r="M423" i="1"/>
  <c r="M421" i="1"/>
  <c r="M417" i="1"/>
  <c r="M414" i="1"/>
  <c r="M406" i="1"/>
  <c r="M395" i="1"/>
  <c r="M393" i="1"/>
  <c r="M384" i="1"/>
  <c r="M376" i="1"/>
  <c r="M363" i="1"/>
  <c r="M344" i="1"/>
  <c r="M338" i="1"/>
  <c r="M329" i="1"/>
  <c r="M328" i="1"/>
  <c r="M320" i="1"/>
  <c r="M312" i="1"/>
  <c r="M302" i="1"/>
  <c r="M295" i="1"/>
  <c r="M284" i="1"/>
  <c r="M281" i="1"/>
  <c r="M274" i="1"/>
  <c r="M265" i="1"/>
  <c r="M258" i="1"/>
  <c r="M248" i="1"/>
  <c r="M242" i="1"/>
  <c r="M241" i="1"/>
  <c r="M232" i="1"/>
  <c r="M217" i="1"/>
  <c r="M216" i="1"/>
  <c r="M214" i="1"/>
  <c r="M200" i="1"/>
  <c r="M196" i="1"/>
  <c r="M191" i="1"/>
  <c r="M182" i="1"/>
  <c r="M177" i="1"/>
  <c r="M176" i="1"/>
  <c r="M173" i="1"/>
  <c r="M171" i="1"/>
  <c r="M161" i="1"/>
  <c r="M157" i="1"/>
  <c r="M156" i="1"/>
  <c r="M146" i="1"/>
  <c r="M139" i="1"/>
  <c r="M127" i="1"/>
  <c r="M125" i="1"/>
  <c r="M123" i="1"/>
  <c r="M120" i="1"/>
  <c r="M111" i="1"/>
  <c r="M102" i="1"/>
  <c r="M92" i="1"/>
  <c r="M89" i="1"/>
  <c r="M75" i="1"/>
  <c r="M57" i="1"/>
  <c r="M52" i="1"/>
  <c r="M49" i="1"/>
  <c r="M42" i="1"/>
  <c r="M20" i="1"/>
  <c r="M9" i="1"/>
  <c r="K468" i="1"/>
  <c r="J468" i="1"/>
  <c r="K438" i="1"/>
  <c r="J438" i="1"/>
  <c r="K429" i="1"/>
  <c r="J429" i="1"/>
  <c r="K412" i="1"/>
  <c r="J412" i="1"/>
  <c r="K405" i="1"/>
  <c r="J405" i="1"/>
  <c r="K391" i="1"/>
  <c r="J391" i="1"/>
  <c r="K383" i="1"/>
  <c r="J383" i="1"/>
  <c r="K370" i="1"/>
  <c r="J370" i="1"/>
  <c r="K351" i="1"/>
  <c r="J351" i="1"/>
  <c r="K314" i="1"/>
  <c r="J314" i="1"/>
  <c r="K309" i="1"/>
  <c r="J309" i="1"/>
  <c r="K301" i="1"/>
  <c r="J301" i="1"/>
  <c r="K212" i="1"/>
  <c r="J212" i="1"/>
  <c r="K181" i="1"/>
  <c r="J181" i="1"/>
  <c r="K116" i="1"/>
  <c r="J116" i="1"/>
  <c r="K106" i="1"/>
  <c r="J106" i="1"/>
  <c r="K51" i="1"/>
  <c r="J51" i="1"/>
  <c r="K41" i="1"/>
  <c r="J41" i="1"/>
  <c r="M467" i="1"/>
  <c r="M466" i="1"/>
  <c r="M465" i="1"/>
  <c r="M464" i="1"/>
  <c r="M462" i="1"/>
  <c r="M461" i="1"/>
  <c r="M460" i="1"/>
  <c r="M458" i="1"/>
  <c r="M457" i="1"/>
  <c r="M456" i="1"/>
  <c r="M454" i="1"/>
  <c r="M452" i="1"/>
  <c r="M451" i="1"/>
  <c r="M450" i="1"/>
  <c r="M448" i="1"/>
  <c r="M447" i="1"/>
  <c r="M446" i="1"/>
  <c r="M444" i="1"/>
  <c r="M443" i="1"/>
  <c r="M442" i="1"/>
  <c r="M441" i="1"/>
  <c r="M440" i="1"/>
  <c r="M439" i="1"/>
  <c r="M437" i="1"/>
  <c r="M436" i="1"/>
  <c r="M435" i="1"/>
  <c r="M434" i="1"/>
  <c r="M433" i="1"/>
  <c r="M432" i="1"/>
  <c r="M431" i="1"/>
  <c r="M430" i="1"/>
  <c r="M428" i="1"/>
  <c r="M427" i="1"/>
  <c r="M426" i="1"/>
  <c r="M425" i="1"/>
  <c r="M424" i="1"/>
  <c r="M422" i="1"/>
  <c r="M420" i="1"/>
  <c r="M418" i="1"/>
  <c r="M416" i="1"/>
  <c r="M415" i="1"/>
  <c r="M411" i="1"/>
  <c r="M410" i="1"/>
  <c r="M409" i="1"/>
  <c r="M408" i="1"/>
  <c r="M407" i="1"/>
  <c r="M404" i="1"/>
  <c r="M403" i="1"/>
  <c r="M402" i="1"/>
  <c r="M401" i="1"/>
  <c r="M400" i="1"/>
  <c r="M399" i="1"/>
  <c r="M398" i="1"/>
  <c r="M397" i="1"/>
  <c r="M396" i="1"/>
  <c r="M394" i="1"/>
  <c r="M392" i="1"/>
  <c r="M390" i="1"/>
  <c r="M389" i="1"/>
  <c r="M388" i="1"/>
  <c r="M387" i="1"/>
  <c r="M386" i="1"/>
  <c r="M385" i="1"/>
  <c r="M382" i="1"/>
  <c r="M381" i="1"/>
  <c r="M380" i="1"/>
  <c r="M378" i="1"/>
  <c r="M377" i="1"/>
  <c r="M375" i="1"/>
  <c r="M374" i="1"/>
  <c r="M373" i="1"/>
  <c r="M372" i="1"/>
  <c r="M371" i="1"/>
  <c r="M369" i="1"/>
  <c r="M368" i="1"/>
  <c r="M367" i="1"/>
  <c r="M366" i="1"/>
  <c r="M365" i="1"/>
  <c r="M364" i="1"/>
  <c r="M362" i="1"/>
  <c r="M361" i="1"/>
  <c r="M360" i="1"/>
  <c r="M357" i="1"/>
  <c r="M356" i="1"/>
  <c r="M355" i="1"/>
  <c r="M354" i="1"/>
  <c r="M353" i="1"/>
  <c r="M352" i="1"/>
  <c r="M350" i="1"/>
  <c r="M349" i="1"/>
  <c r="M348" i="1"/>
  <c r="M347" i="1"/>
  <c r="M346" i="1"/>
  <c r="M345" i="1"/>
  <c r="M342" i="1"/>
  <c r="M341" i="1"/>
  <c r="M340" i="1"/>
  <c r="M339" i="1"/>
  <c r="M337" i="1"/>
  <c r="M336" i="1"/>
  <c r="M334" i="1"/>
  <c r="M333" i="1"/>
  <c r="M332" i="1"/>
  <c r="M331" i="1"/>
  <c r="M330" i="1"/>
  <c r="M326" i="1"/>
  <c r="M325" i="1"/>
  <c r="M324" i="1"/>
  <c r="M323" i="1"/>
  <c r="M321" i="1"/>
  <c r="M319" i="1"/>
  <c r="M318" i="1"/>
  <c r="M317" i="1"/>
  <c r="M316" i="1"/>
  <c r="M315" i="1"/>
  <c r="M313" i="1"/>
  <c r="M311" i="1"/>
  <c r="M310" i="1"/>
  <c r="M308" i="1"/>
  <c r="M307" i="1"/>
  <c r="M306" i="1"/>
  <c r="M305" i="1"/>
  <c r="M304" i="1"/>
  <c r="M303" i="1"/>
  <c r="M300" i="1"/>
  <c r="M299" i="1"/>
  <c r="M298" i="1"/>
  <c r="M297" i="1"/>
  <c r="M296" i="1"/>
  <c r="M292" i="1"/>
  <c r="M291" i="1"/>
  <c r="M290" i="1"/>
  <c r="M289" i="1"/>
  <c r="M288" i="1"/>
  <c r="M287" i="1"/>
  <c r="M286" i="1"/>
  <c r="M285" i="1"/>
  <c r="M282" i="1"/>
  <c r="M280" i="1"/>
  <c r="M279" i="1"/>
  <c r="M278" i="1"/>
  <c r="M277" i="1"/>
  <c r="M276" i="1"/>
  <c r="M273" i="1"/>
  <c r="M272" i="1"/>
  <c r="M271" i="1"/>
  <c r="M270" i="1"/>
  <c r="M269" i="1"/>
  <c r="M268" i="1"/>
  <c r="M267" i="1"/>
  <c r="M266" i="1"/>
  <c r="M263" i="1"/>
  <c r="M262" i="1"/>
  <c r="M261" i="1"/>
  <c r="M260" i="1"/>
  <c r="M259" i="1"/>
  <c r="M257" i="1"/>
  <c r="M255" i="1"/>
  <c r="M254" i="1"/>
  <c r="M253" i="1"/>
  <c r="M252" i="1"/>
  <c r="M251" i="1"/>
  <c r="M250" i="1"/>
  <c r="M249" i="1"/>
  <c r="M246" i="1"/>
  <c r="M245" i="1"/>
  <c r="M244" i="1"/>
  <c r="M243" i="1"/>
  <c r="M240" i="1"/>
  <c r="M239" i="1"/>
  <c r="M237" i="1"/>
  <c r="M236" i="1"/>
  <c r="M235" i="1"/>
  <c r="M234" i="1"/>
  <c r="M233" i="1"/>
  <c r="M231" i="1"/>
  <c r="M230" i="1"/>
  <c r="M229" i="1"/>
  <c r="M228" i="1"/>
  <c r="M227" i="1"/>
  <c r="M226" i="1"/>
  <c r="M224" i="1"/>
  <c r="M223" i="1"/>
  <c r="M222" i="1"/>
  <c r="M221" i="1"/>
  <c r="M220" i="1"/>
  <c r="M219" i="1"/>
  <c r="M218" i="1"/>
  <c r="M215" i="1"/>
  <c r="M211" i="1"/>
  <c r="M210" i="1"/>
  <c r="M209" i="1"/>
  <c r="M208" i="1"/>
  <c r="M207" i="1"/>
  <c r="M206" i="1"/>
  <c r="M205" i="1"/>
  <c r="M204" i="1"/>
  <c r="M203" i="1"/>
  <c r="M202" i="1"/>
  <c r="M201" i="1"/>
  <c r="M198" i="1"/>
  <c r="M197" i="1"/>
  <c r="M195" i="1"/>
  <c r="M194" i="1"/>
  <c r="M193" i="1"/>
  <c r="M192" i="1"/>
  <c r="M189" i="1"/>
  <c r="M188" i="1"/>
  <c r="M187" i="1"/>
  <c r="M186" i="1"/>
  <c r="M185" i="1"/>
  <c r="M184" i="1"/>
  <c r="M183" i="1"/>
  <c r="M180" i="1"/>
  <c r="M179" i="1"/>
  <c r="M178" i="1"/>
  <c r="M174" i="1"/>
  <c r="M172" i="1"/>
  <c r="M170" i="1"/>
  <c r="M169" i="1"/>
  <c r="M168" i="1"/>
  <c r="M167" i="1"/>
  <c r="M166" i="1"/>
  <c r="M165" i="1"/>
  <c r="M164" i="1"/>
  <c r="M163" i="1"/>
  <c r="M162" i="1"/>
  <c r="M159" i="1"/>
  <c r="M158" i="1"/>
  <c r="M154" i="1"/>
  <c r="M153" i="1"/>
  <c r="M152" i="1"/>
  <c r="M151" i="1"/>
  <c r="M150" i="1"/>
  <c r="M149" i="1"/>
  <c r="M148" i="1"/>
  <c r="M147" i="1"/>
  <c r="M144" i="1"/>
  <c r="M143" i="1"/>
  <c r="M142" i="1"/>
  <c r="M141" i="1"/>
  <c r="M140" i="1"/>
  <c r="M138" i="1"/>
  <c r="M137" i="1"/>
  <c r="M136" i="1"/>
  <c r="M133" i="1"/>
  <c r="M132" i="1"/>
  <c r="M131" i="1"/>
  <c r="M130" i="1"/>
  <c r="M129" i="1"/>
  <c r="M128" i="1"/>
  <c r="M126" i="1"/>
  <c r="M122" i="1"/>
  <c r="M121" i="1"/>
  <c r="M119" i="1"/>
  <c r="M118" i="1"/>
  <c r="M117" i="1"/>
  <c r="M115" i="1"/>
  <c r="M114" i="1"/>
  <c r="M113" i="1"/>
  <c r="M112" i="1"/>
  <c r="M110" i="1"/>
  <c r="M109" i="1"/>
  <c r="M108" i="1"/>
  <c r="M107" i="1"/>
  <c r="M105" i="1"/>
  <c r="M104" i="1"/>
  <c r="M103" i="1"/>
  <c r="M101" i="1"/>
  <c r="M100" i="1"/>
  <c r="M98" i="1"/>
  <c r="M97" i="1"/>
  <c r="M96" i="1"/>
  <c r="M95" i="1"/>
  <c r="M94" i="1"/>
  <c r="M93" i="1"/>
  <c r="M91" i="1"/>
  <c r="M88" i="1"/>
  <c r="M87" i="1"/>
  <c r="M86" i="1"/>
  <c r="M84" i="1"/>
  <c r="M83" i="1"/>
  <c r="M82" i="1"/>
  <c r="M81" i="1"/>
  <c r="M80" i="1"/>
  <c r="M79" i="1"/>
  <c r="M78" i="1"/>
  <c r="M77" i="1"/>
  <c r="M74" i="1"/>
  <c r="M73" i="1"/>
  <c r="M72" i="1"/>
  <c r="M71" i="1"/>
  <c r="M68" i="1"/>
  <c r="M67" i="1"/>
  <c r="M66" i="1"/>
  <c r="M65" i="1"/>
  <c r="M64" i="1"/>
  <c r="M63" i="1"/>
  <c r="M62" i="1"/>
  <c r="M61" i="1"/>
  <c r="M59" i="1"/>
  <c r="M58" i="1"/>
  <c r="M56" i="1"/>
  <c r="M55" i="1"/>
  <c r="M54" i="1"/>
  <c r="M53" i="1"/>
  <c r="M50" i="1"/>
  <c r="M48" i="1"/>
  <c r="M47" i="1"/>
  <c r="M46" i="1"/>
  <c r="M45" i="1"/>
  <c r="M44" i="1"/>
  <c r="M43" i="1"/>
  <c r="M40" i="1"/>
  <c r="M39" i="1"/>
  <c r="M38" i="1"/>
  <c r="M37" i="1"/>
  <c r="M36" i="1"/>
  <c r="M35" i="1"/>
  <c r="M34" i="1"/>
  <c r="M33" i="1"/>
  <c r="M31" i="1"/>
  <c r="M30" i="1"/>
  <c r="M29" i="1"/>
  <c r="M28" i="1"/>
  <c r="M27" i="1"/>
  <c r="M26" i="1"/>
  <c r="M25" i="1"/>
  <c r="M24" i="1"/>
  <c r="M22" i="1"/>
  <c r="M21" i="1"/>
  <c r="M19" i="1"/>
  <c r="M17" i="1"/>
  <c r="M16" i="1"/>
  <c r="M15" i="1"/>
  <c r="M13" i="1"/>
  <c r="M12" i="1"/>
  <c r="M11" i="1"/>
  <c r="M10" i="1"/>
  <c r="M8" i="1"/>
  <c r="M7" i="1"/>
  <c r="M5" i="1"/>
  <c r="M4" i="1"/>
  <c r="M3" i="1"/>
  <c r="L182" i="1"/>
  <c r="J419" i="1"/>
  <c r="L42" i="1"/>
  <c r="XEH2" i="1"/>
  <c r="XEG2" i="1"/>
  <c r="L454" i="1"/>
  <c r="C4" i="1"/>
  <c r="C5" i="1" s="1"/>
  <c r="C6" i="1" s="1"/>
  <c r="C7" i="1" s="1"/>
  <c r="C8" i="1" s="1"/>
  <c r="C9" i="1" s="1"/>
  <c r="C10" i="1" s="1"/>
  <c r="C11" i="1" s="1"/>
  <c r="C12" i="1" s="1"/>
  <c r="C13" i="1" s="1"/>
  <c r="C15" i="1" s="1"/>
  <c r="C16" i="1" s="1"/>
  <c r="L268" i="1" l="1"/>
  <c r="L407" i="1"/>
  <c r="L466" i="1"/>
  <c r="L425" i="1"/>
  <c r="L458" i="1"/>
  <c r="L434" i="1"/>
  <c r="L360" i="1"/>
  <c r="L452" i="1"/>
  <c r="L416" i="1"/>
  <c r="L254" i="1"/>
  <c r="L421" i="1"/>
  <c r="L444" i="1"/>
  <c r="L457" i="1"/>
  <c r="L467" i="1"/>
  <c r="L263" i="1"/>
  <c r="I116" i="1"/>
  <c r="I309" i="1"/>
  <c r="I383" i="1"/>
  <c r="I429" i="1"/>
  <c r="I41" i="1"/>
  <c r="I181" i="1"/>
  <c r="I314" i="1"/>
  <c r="I391" i="1"/>
  <c r="I438" i="1"/>
  <c r="L365" i="1"/>
  <c r="L449" i="1"/>
  <c r="I106" i="1"/>
  <c r="I301" i="1"/>
  <c r="I370" i="1"/>
  <c r="I412" i="1"/>
  <c r="L401" i="1"/>
  <c r="L431" i="1"/>
  <c r="L462" i="1"/>
  <c r="L240" i="1"/>
  <c r="I51" i="1"/>
  <c r="I212" i="1"/>
  <c r="I351" i="1"/>
  <c r="I405" i="1"/>
  <c r="I468" i="1"/>
  <c r="L276" i="1"/>
  <c r="L304" i="1"/>
  <c r="L371" i="1"/>
  <c r="L375" i="1"/>
  <c r="L423" i="1"/>
  <c r="L15" i="1"/>
  <c r="L325" i="1"/>
  <c r="L297" i="1"/>
  <c r="L125" i="1"/>
  <c r="L52" i="1"/>
  <c r="L208" i="1"/>
  <c r="L164" i="1"/>
  <c r="L334" i="1"/>
  <c r="L245" i="1"/>
  <c r="L272" i="1"/>
  <c r="L231" i="1"/>
  <c r="J190" i="1"/>
  <c r="L250" i="1"/>
  <c r="L380" i="1"/>
  <c r="L137" i="1"/>
  <c r="L397" i="1"/>
  <c r="L161" i="1"/>
  <c r="L191" i="1"/>
  <c r="J343" i="1"/>
  <c r="L146" i="1"/>
  <c r="J23" i="1"/>
  <c r="K85" i="1"/>
  <c r="J238" i="1"/>
  <c r="L123" i="1"/>
  <c r="J155" i="1"/>
  <c r="L402" i="1"/>
  <c r="L443" i="1"/>
  <c r="K453" i="1"/>
  <c r="J459" i="1"/>
  <c r="L241" i="1"/>
  <c r="L395" i="1"/>
  <c r="L390" i="1"/>
  <c r="K322" i="1"/>
  <c r="K335" i="1"/>
  <c r="K190" i="1"/>
  <c r="K293" i="1"/>
  <c r="L424" i="1"/>
  <c r="K155" i="1"/>
  <c r="K247" i="1"/>
  <c r="J134" i="1"/>
  <c r="J175" i="1"/>
  <c r="J264" i="1"/>
  <c r="J358" i="1"/>
  <c r="L436" i="1"/>
  <c r="L464" i="1"/>
  <c r="K18" i="1"/>
  <c r="J85" i="1"/>
  <c r="K134" i="1"/>
  <c r="K175" i="1"/>
  <c r="K225" i="1"/>
  <c r="K264" i="1"/>
  <c r="L361" i="1"/>
  <c r="L384" i="1"/>
  <c r="N430" i="1"/>
  <c r="L40" i="1"/>
  <c r="L25" i="1"/>
  <c r="J225" i="1"/>
  <c r="K327" i="1"/>
  <c r="H419" i="1"/>
  <c r="L415" i="1"/>
  <c r="L57" i="1"/>
  <c r="L91" i="1"/>
  <c r="K256" i="1"/>
  <c r="J256" i="1"/>
  <c r="K275" i="1"/>
  <c r="J275" i="1"/>
  <c r="K32" i="1"/>
  <c r="J69" i="1"/>
  <c r="J99" i="1"/>
  <c r="L410" i="1"/>
  <c r="N446" i="1"/>
  <c r="K459" i="1"/>
  <c r="J18" i="1"/>
  <c r="K23" i="1"/>
  <c r="K90" i="1"/>
  <c r="J90" i="1"/>
  <c r="L183" i="1"/>
  <c r="L227" i="1"/>
  <c r="K238" i="1"/>
  <c r="L398" i="1"/>
  <c r="J453" i="1"/>
  <c r="K60" i="1"/>
  <c r="J60" i="1"/>
  <c r="K76" i="1"/>
  <c r="J76" i="1"/>
  <c r="J322" i="1"/>
  <c r="J335" i="1"/>
  <c r="K379" i="1"/>
  <c r="K413" i="1" s="1"/>
  <c r="L460" i="1"/>
  <c r="J327" i="1"/>
  <c r="K419" i="1"/>
  <c r="K199" i="1"/>
  <c r="J199" i="1"/>
  <c r="J247" i="1"/>
  <c r="L353" i="1"/>
  <c r="K358" i="1"/>
  <c r="J14" i="1"/>
  <c r="K69" i="1"/>
  <c r="K99" i="1"/>
  <c r="J283" i="1"/>
  <c r="J379" i="1"/>
  <c r="J413" i="1" s="1"/>
  <c r="K14" i="1"/>
  <c r="L12" i="1"/>
  <c r="L61" i="1"/>
  <c r="K124" i="1"/>
  <c r="J124" i="1"/>
  <c r="J293" i="1"/>
  <c r="K343" i="1"/>
  <c r="H438" i="1"/>
  <c r="K445" i="1"/>
  <c r="L440" i="1"/>
  <c r="J445" i="1"/>
  <c r="J145" i="1"/>
  <c r="K283" i="1"/>
  <c r="L148" i="1"/>
  <c r="J160" i="1"/>
  <c r="J32" i="1"/>
  <c r="K145" i="1"/>
  <c r="K160" i="1"/>
  <c r="L10" i="1"/>
  <c r="L156" i="1"/>
  <c r="H155" i="1"/>
  <c r="L30" i="1"/>
  <c r="L35" i="1"/>
  <c r="L59" i="1"/>
  <c r="L64" i="1"/>
  <c r="L68" i="1"/>
  <c r="L74" i="1"/>
  <c r="L79" i="1"/>
  <c r="L83" i="1"/>
  <c r="L88" i="1"/>
  <c r="L94" i="1"/>
  <c r="L103" i="1"/>
  <c r="L126" i="1"/>
  <c r="L184" i="1"/>
  <c r="L188" i="1"/>
  <c r="L193" i="1"/>
  <c r="L197" i="1"/>
  <c r="L202" i="1"/>
  <c r="L206" i="1"/>
  <c r="L210" i="1"/>
  <c r="L216" i="1"/>
  <c r="L220" i="1"/>
  <c r="L224" i="1"/>
  <c r="L229" i="1"/>
  <c r="L233" i="1"/>
  <c r="L237" i="1"/>
  <c r="L243" i="1"/>
  <c r="L252" i="1"/>
  <c r="L261" i="1"/>
  <c r="L285" i="1"/>
  <c r="L289" i="1"/>
  <c r="L295" i="1"/>
  <c r="L299" i="1"/>
  <c r="L318" i="1"/>
  <c r="L323" i="1"/>
  <c r="L328" i="1"/>
  <c r="L332" i="1"/>
  <c r="L337" i="1"/>
  <c r="L341" i="1"/>
  <c r="L8" i="1"/>
  <c r="L17" i="1"/>
  <c r="L31" i="1"/>
  <c r="L36" i="1"/>
  <c r="L80" i="1"/>
  <c r="L84" i="1"/>
  <c r="L89" i="1"/>
  <c r="L104" i="1"/>
  <c r="L162" i="1"/>
  <c r="L166" i="1"/>
  <c r="L170" i="1"/>
  <c r="L174" i="1"/>
  <c r="L179" i="1"/>
  <c r="L207" i="1"/>
  <c r="L226" i="1"/>
  <c r="N239" i="1"/>
  <c r="I247" i="1"/>
  <c r="L244" i="1"/>
  <c r="L249" i="1"/>
  <c r="L253" i="1"/>
  <c r="L277" i="1"/>
  <c r="L281" i="1"/>
  <c r="L290" i="1"/>
  <c r="L305" i="1"/>
  <c r="L310" i="1"/>
  <c r="L315" i="1"/>
  <c r="L344" i="1"/>
  <c r="L348" i="1"/>
  <c r="L373" i="1"/>
  <c r="L377" i="1"/>
  <c r="L393" i="1"/>
  <c r="L58" i="1"/>
  <c r="L102" i="1"/>
  <c r="L107" i="1"/>
  <c r="L111" i="1"/>
  <c r="L120" i="1"/>
  <c r="L129" i="1"/>
  <c r="L139" i="1"/>
  <c r="L265" i="1"/>
  <c r="L273" i="1"/>
  <c r="L298" i="1"/>
  <c r="L303" i="1"/>
  <c r="L336" i="1"/>
  <c r="L364" i="1"/>
  <c r="L378" i="1"/>
  <c r="L389" i="1"/>
  <c r="L369" i="1"/>
  <c r="L399" i="1"/>
  <c r="L95" i="1"/>
  <c r="L115" i="1"/>
  <c r="L133" i="1"/>
  <c r="L143" i="1"/>
  <c r="L168" i="1"/>
  <c r="L286" i="1"/>
  <c r="L319" i="1"/>
  <c r="L326" i="1"/>
  <c r="L329" i="1"/>
  <c r="L349" i="1"/>
  <c r="L357" i="1"/>
  <c r="L368" i="1"/>
  <c r="L374" i="1"/>
  <c r="L345" i="1"/>
  <c r="L367" i="1"/>
  <c r="L331" i="1"/>
  <c r="L363" i="1"/>
  <c r="L385" i="1"/>
  <c r="L394" i="1"/>
  <c r="L340" i="1"/>
  <c r="L81" i="1"/>
  <c r="L152" i="1"/>
  <c r="L222" i="1"/>
  <c r="L259" i="1"/>
  <c r="N352" i="1"/>
  <c r="L411" i="1"/>
  <c r="L417" i="1"/>
  <c r="L422" i="1"/>
  <c r="L426" i="1"/>
  <c r="L430" i="1"/>
  <c r="L435" i="1"/>
  <c r="L439" i="1"/>
  <c r="I445" i="1"/>
  <c r="L448" i="1"/>
  <c r="L463" i="1"/>
  <c r="L138" i="1"/>
  <c r="L151" i="1"/>
  <c r="L278" i="1"/>
  <c r="L381" i="1"/>
  <c r="L408" i="1"/>
  <c r="L418" i="1"/>
  <c r="N420" i="1"/>
  <c r="L441" i="1"/>
  <c r="I453" i="1"/>
  <c r="N454" i="1"/>
  <c r="I459" i="1"/>
  <c r="N460" i="1"/>
  <c r="N265" i="1"/>
  <c r="I283" i="1"/>
  <c r="I293" i="1"/>
  <c r="L13" i="1"/>
  <c r="L28" i="1"/>
  <c r="L38" i="1"/>
  <c r="L50" i="1"/>
  <c r="L56" i="1"/>
  <c r="L251" i="1"/>
  <c r="L255" i="1"/>
  <c r="L269" i="1"/>
  <c r="L372" i="1"/>
  <c r="L376" i="1"/>
  <c r="L386" i="1"/>
  <c r="L414" i="1"/>
  <c r="I419" i="1"/>
  <c r="L455" i="1"/>
  <c r="L29" i="1"/>
  <c r="L78" i="1"/>
  <c r="L82" i="1"/>
  <c r="L147" i="1"/>
  <c r="L196" i="1"/>
  <c r="L242" i="1"/>
  <c r="L246" i="1"/>
  <c r="N248" i="1"/>
  <c r="L260" i="1"/>
  <c r="L311" i="1"/>
  <c r="L362" i="1"/>
  <c r="L366" i="1"/>
  <c r="L403" i="1"/>
  <c r="N406" i="1"/>
  <c r="L446" i="1"/>
  <c r="L450" i="1"/>
  <c r="L5" i="1"/>
  <c r="L72" i="1"/>
  <c r="L117" i="1"/>
  <c r="L149" i="1"/>
  <c r="L153" i="1"/>
  <c r="L217" i="1"/>
  <c r="N384" i="1"/>
  <c r="L6" i="1"/>
  <c r="L22" i="1"/>
  <c r="L39" i="1"/>
  <c r="L46" i="1"/>
  <c r="L142" i="1"/>
  <c r="L150" i="1"/>
  <c r="L154" i="1"/>
  <c r="L163" i="1"/>
  <c r="L218" i="1"/>
  <c r="L257" i="1"/>
  <c r="N284" i="1"/>
  <c r="L312" i="1"/>
  <c r="L347" i="1"/>
  <c r="I343" i="1"/>
  <c r="N344" i="1"/>
  <c r="L49" i="1"/>
  <c r="L108" i="1"/>
  <c r="N117" i="1"/>
  <c r="L180" i="1"/>
  <c r="L189" i="1"/>
  <c r="L198" i="1"/>
  <c r="N257" i="1"/>
  <c r="I275" i="1"/>
  <c r="N336" i="1"/>
  <c r="I14" i="1"/>
  <c r="L3" i="1"/>
  <c r="L203" i="1"/>
  <c r="I256" i="1"/>
  <c r="N371" i="1"/>
  <c r="N3" i="1"/>
  <c r="L9" i="1"/>
  <c r="L16" i="1"/>
  <c r="L19" i="1"/>
  <c r="L33" i="1"/>
  <c r="L43" i="1"/>
  <c r="L54" i="1"/>
  <c r="L75" i="1"/>
  <c r="L98" i="1"/>
  <c r="L100" i="1"/>
  <c r="L130" i="1"/>
  <c r="L136" i="1"/>
  <c r="L140" i="1"/>
  <c r="L144" i="1"/>
  <c r="L158" i="1"/>
  <c r="L171" i="1"/>
  <c r="L194" i="1"/>
  <c r="L204" i="1"/>
  <c r="L214" i="1"/>
  <c r="L234" i="1"/>
  <c r="I264" i="1"/>
  <c r="L271" i="1"/>
  <c r="L292" i="1"/>
  <c r="L302" i="1"/>
  <c r="L306" i="1"/>
  <c r="N315" i="1"/>
  <c r="L320" i="1"/>
  <c r="L342" i="1"/>
  <c r="L355" i="1"/>
  <c r="I379" i="1"/>
  <c r="L388" i="1"/>
  <c r="L433" i="1"/>
  <c r="L437" i="1"/>
  <c r="L442" i="1"/>
  <c r="L447" i="1"/>
  <c r="L451" i="1"/>
  <c r="L456" i="1"/>
  <c r="L461" i="1"/>
  <c r="L465" i="1"/>
  <c r="N156" i="1"/>
  <c r="I175" i="1"/>
  <c r="H225" i="1"/>
  <c r="I238" i="1"/>
  <c r="I335" i="1"/>
  <c r="L21" i="1"/>
  <c r="L45" i="1"/>
  <c r="L65" i="1"/>
  <c r="L71" i="1"/>
  <c r="I76" i="1"/>
  <c r="L112" i="1"/>
  <c r="L121" i="1"/>
  <c r="L141" i="1"/>
  <c r="L159" i="1"/>
  <c r="L167" i="1"/>
  <c r="L172" i="1"/>
  <c r="L176" i="1"/>
  <c r="L185" i="1"/>
  <c r="L211" i="1"/>
  <c r="L221" i="1"/>
  <c r="L230" i="1"/>
  <c r="L235" i="1"/>
  <c r="L239" i="1"/>
  <c r="L248" i="1"/>
  <c r="L267" i="1"/>
  <c r="L280" i="1"/>
  <c r="L288" i="1"/>
  <c r="N295" i="1"/>
  <c r="N302" i="1"/>
  <c r="L307" i="1"/>
  <c r="L316" i="1"/>
  <c r="I322" i="1"/>
  <c r="L324" i="1"/>
  <c r="I327" i="1"/>
  <c r="N328" i="1"/>
  <c r="L333" i="1"/>
  <c r="L339" i="1"/>
  <c r="L352" i="1"/>
  <c r="L356" i="1"/>
  <c r="L392" i="1"/>
  <c r="L396" i="1"/>
  <c r="L400" i="1"/>
  <c r="L404" i="1"/>
  <c r="L406" i="1"/>
  <c r="L409" i="1"/>
  <c r="L428" i="1"/>
  <c r="N439" i="1"/>
  <c r="N42" i="1"/>
  <c r="N19" i="1"/>
  <c r="I23" i="1"/>
  <c r="L26" i="1"/>
  <c r="L34" i="1"/>
  <c r="L48" i="1"/>
  <c r="L55" i="1"/>
  <c r="L73" i="1"/>
  <c r="I99" i="1"/>
  <c r="N100" i="1"/>
  <c r="N107" i="1"/>
  <c r="L119" i="1"/>
  <c r="I124" i="1"/>
  <c r="N125" i="1"/>
  <c r="I155" i="1"/>
  <c r="N176" i="1"/>
  <c r="L192" i="1"/>
  <c r="L11" i="1"/>
  <c r="L20" i="1"/>
  <c r="I60" i="1"/>
  <c r="N61" i="1"/>
  <c r="L67" i="1"/>
  <c r="N70" i="1"/>
  <c r="N86" i="1"/>
  <c r="I90" i="1"/>
  <c r="N91" i="1"/>
  <c r="L96" i="1"/>
  <c r="L114" i="1"/>
  <c r="L132" i="1"/>
  <c r="L178" i="1"/>
  <c r="N200" i="1"/>
  <c r="N214" i="1"/>
  <c r="I225" i="1"/>
  <c r="N226" i="1"/>
  <c r="H18" i="1"/>
  <c r="L7" i="1"/>
  <c r="N52" i="1"/>
  <c r="L63" i="1"/>
  <c r="N77" i="1"/>
  <c r="I85" i="1"/>
  <c r="L87" i="1"/>
  <c r="L92" i="1"/>
  <c r="L110" i="1"/>
  <c r="L128" i="1"/>
  <c r="I145" i="1"/>
  <c r="N146" i="1"/>
  <c r="L187" i="1"/>
  <c r="I199" i="1"/>
  <c r="L201" i="1"/>
  <c r="L205" i="1"/>
  <c r="L209" i="1"/>
  <c r="L215" i="1"/>
  <c r="L219" i="1"/>
  <c r="L223" i="1"/>
  <c r="L53" i="1"/>
  <c r="I69" i="1"/>
  <c r="L317" i="1"/>
  <c r="L321" i="1"/>
  <c r="L330" i="1"/>
  <c r="L338" i="1"/>
  <c r="L346" i="1"/>
  <c r="L350" i="1"/>
  <c r="N392" i="1"/>
  <c r="L4" i="1"/>
  <c r="L282" i="1"/>
  <c r="H41" i="1"/>
  <c r="H51" i="1"/>
  <c r="L44" i="1"/>
  <c r="L62" i="1"/>
  <c r="L66" i="1"/>
  <c r="H85" i="1"/>
  <c r="L77" i="1"/>
  <c r="L86" i="1"/>
  <c r="L109" i="1"/>
  <c r="L113" i="1"/>
  <c r="L118" i="1"/>
  <c r="L122" i="1"/>
  <c r="L127" i="1"/>
  <c r="L131" i="1"/>
  <c r="H145" i="1"/>
  <c r="N136" i="1"/>
  <c r="L266" i="1"/>
  <c r="L270" i="1"/>
  <c r="L274" i="1"/>
  <c r="L279" i="1"/>
  <c r="L284" i="1"/>
  <c r="L287" i="1"/>
  <c r="L291" i="1"/>
  <c r="L296" i="1"/>
  <c r="L300" i="1"/>
  <c r="L308" i="1"/>
  <c r="H314" i="1"/>
  <c r="L313" i="1"/>
  <c r="L382" i="1"/>
  <c r="L387" i="1"/>
  <c r="L24" i="1"/>
  <c r="L27" i="1"/>
  <c r="H23" i="1"/>
  <c r="L101" i="1"/>
  <c r="L105" i="1"/>
  <c r="I160" i="1"/>
  <c r="N161" i="1"/>
  <c r="H181" i="1"/>
  <c r="L177" i="1"/>
  <c r="L186" i="1"/>
  <c r="N191" i="1"/>
  <c r="L195" i="1"/>
  <c r="H212" i="1"/>
  <c r="L200" i="1"/>
  <c r="L258" i="1"/>
  <c r="L262" i="1"/>
  <c r="I358" i="1"/>
  <c r="L420" i="1"/>
  <c r="L427" i="1"/>
  <c r="L432" i="1"/>
  <c r="N15" i="1"/>
  <c r="I18" i="1"/>
  <c r="N24" i="1"/>
  <c r="I32" i="1"/>
  <c r="N33" i="1"/>
  <c r="L37" i="1"/>
  <c r="L47" i="1"/>
  <c r="H99" i="1"/>
  <c r="L93" i="1"/>
  <c r="L97" i="1"/>
  <c r="I134" i="1"/>
  <c r="L157" i="1"/>
  <c r="L165" i="1"/>
  <c r="L169" i="1"/>
  <c r="L173" i="1"/>
  <c r="I190" i="1"/>
  <c r="N182" i="1"/>
  <c r="L228" i="1"/>
  <c r="L232" i="1"/>
  <c r="L236" i="1"/>
  <c r="L354" i="1"/>
  <c r="N360" i="1"/>
  <c r="N414" i="1"/>
  <c r="H445" i="1"/>
  <c r="H468" i="1"/>
  <c r="H76" i="1"/>
  <c r="H459" i="1"/>
  <c r="C17" i="1"/>
  <c r="K135" i="1" l="1"/>
  <c r="J359" i="1"/>
  <c r="J70" i="1"/>
  <c r="I359" i="1"/>
  <c r="I70" i="1"/>
  <c r="I135" i="1"/>
  <c r="I413" i="1"/>
  <c r="J213" i="1"/>
  <c r="K213" i="1"/>
  <c r="K70" i="1"/>
  <c r="K359" i="1"/>
  <c r="J135" i="1"/>
  <c r="I213" i="1"/>
  <c r="J294" i="1"/>
  <c r="K294" i="1"/>
  <c r="H256" i="1"/>
  <c r="H379" i="1"/>
  <c r="H453" i="1"/>
  <c r="H370" i="1"/>
  <c r="L459" i="1"/>
  <c r="L18" i="1"/>
  <c r="L419" i="1"/>
  <c r="L453" i="1"/>
  <c r="L383" i="1"/>
  <c r="L370" i="1"/>
  <c r="L199" i="1"/>
  <c r="L335" i="1"/>
  <c r="L327" i="1"/>
  <c r="L379" i="1"/>
  <c r="L256" i="1"/>
  <c r="H412" i="1"/>
  <c r="H190" i="1"/>
  <c r="H391" i="1"/>
  <c r="H383" i="1"/>
  <c r="N276" i="1"/>
  <c r="H275" i="1"/>
  <c r="H90" i="1"/>
  <c r="H405" i="1"/>
  <c r="H343" i="1"/>
  <c r="H335" i="1"/>
  <c r="H60" i="1"/>
  <c r="H32" i="1"/>
  <c r="H247" i="1"/>
  <c r="H327" i="1"/>
  <c r="N380" i="1"/>
  <c r="L438" i="1"/>
  <c r="L309" i="1"/>
  <c r="L247" i="1"/>
  <c r="L212" i="1"/>
  <c r="L145" i="1"/>
  <c r="L76" i="1"/>
  <c r="L314" i="1"/>
  <c r="L412" i="1"/>
  <c r="L391" i="1"/>
  <c r="L85" i="1"/>
  <c r="L405" i="1"/>
  <c r="L343" i="1"/>
  <c r="L190" i="1"/>
  <c r="L23" i="1"/>
  <c r="L468" i="1"/>
  <c r="L445" i="1"/>
  <c r="L225" i="1"/>
  <c r="L160" i="1"/>
  <c r="L134" i="1"/>
  <c r="I294" i="1"/>
  <c r="L155" i="1"/>
  <c r="L358" i="1"/>
  <c r="H134" i="1"/>
  <c r="L14" i="1"/>
  <c r="H175" i="1"/>
  <c r="H283" i="1"/>
  <c r="L106" i="1"/>
  <c r="H124" i="1"/>
  <c r="H116" i="1"/>
  <c r="L283" i="1"/>
  <c r="H238" i="1"/>
  <c r="L175" i="1"/>
  <c r="H429" i="1"/>
  <c r="H264" i="1"/>
  <c r="H301" i="1"/>
  <c r="L51" i="1"/>
  <c r="L429" i="1"/>
  <c r="L264" i="1"/>
  <c r="L181" i="1"/>
  <c r="L32" i="1"/>
  <c r="L301" i="1"/>
  <c r="L124" i="1"/>
  <c r="L116" i="1"/>
  <c r="L90" i="1"/>
  <c r="L69" i="1"/>
  <c r="H14" i="1"/>
  <c r="L351" i="1"/>
  <c r="L322" i="1"/>
  <c r="L60" i="1"/>
  <c r="L99" i="1"/>
  <c r="L41" i="1"/>
  <c r="L238" i="1"/>
  <c r="L293" i="1"/>
  <c r="L275" i="1"/>
  <c r="H358" i="1"/>
  <c r="H309" i="1"/>
  <c r="H199" i="1"/>
  <c r="H293" i="1"/>
  <c r="H351" i="1"/>
  <c r="H322" i="1"/>
  <c r="H160" i="1"/>
  <c r="H106" i="1"/>
  <c r="H69" i="1"/>
  <c r="H469" i="1" l="1"/>
  <c r="H413" i="1"/>
  <c r="H70" i="1"/>
  <c r="H135" i="1"/>
  <c r="L413" i="1"/>
  <c r="L469" i="1"/>
  <c r="H294" i="1"/>
  <c r="L359" i="1"/>
  <c r="L294" i="1"/>
  <c r="H213" i="1"/>
  <c r="L213" i="1"/>
  <c r="L70" i="1"/>
  <c r="L135" i="1"/>
  <c r="H359" i="1"/>
  <c r="H470" i="1" l="1"/>
  <c r="L470" i="1"/>
  <c r="K469" i="1" l="1"/>
  <c r="K470" i="1" s="1"/>
  <c r="C19" i="1"/>
  <c r="C20" i="1" s="1"/>
  <c r="C21" i="1" s="1"/>
  <c r="C22" i="1" s="1"/>
  <c r="C24" i="1" s="1"/>
  <c r="C25" i="1" s="1"/>
  <c r="C26" i="1" s="1"/>
  <c r="J469" i="1" l="1"/>
  <c r="J470" i="1" s="1"/>
  <c r="G135" i="1"/>
  <c r="I469" i="1" l="1"/>
  <c r="I470" i="1" s="1"/>
  <c r="C27" i="1"/>
  <c r="C28" i="1" s="1"/>
  <c r="C29" i="1" s="1"/>
  <c r="C30" i="1" s="1"/>
  <c r="C31" i="1" s="1"/>
  <c r="C33" i="1" s="1"/>
  <c r="C34" i="1" s="1"/>
  <c r="C35" i="1" s="1"/>
  <c r="C36" i="1" s="1"/>
  <c r="C37" i="1" s="1"/>
  <c r="C38" i="1" s="1"/>
  <c r="C39" i="1" s="1"/>
  <c r="C40" i="1" s="1"/>
  <c r="C42" i="1" s="1"/>
  <c r="C43" i="1" s="1"/>
  <c r="C44" i="1" s="1"/>
  <c r="C45" i="1" s="1"/>
  <c r="C46" i="1" s="1"/>
  <c r="C47" i="1" s="1"/>
  <c r="C48" i="1" s="1"/>
  <c r="C49" i="1" s="1"/>
  <c r="C50" i="1" s="1"/>
  <c r="C52" i="1" s="1"/>
  <c r="C53" i="1" s="1"/>
  <c r="C54" i="1" s="1"/>
  <c r="C55" i="1" s="1"/>
  <c r="C56" i="1" s="1"/>
  <c r="C57" i="1" s="1"/>
  <c r="C58" i="1" s="1"/>
  <c r="C59" i="1" s="1"/>
  <c r="C61" i="1" s="1"/>
  <c r="C62" i="1" s="1"/>
  <c r="C63" i="1" s="1"/>
  <c r="C64" i="1" s="1"/>
  <c r="C65" i="1" s="1"/>
  <c r="C66" i="1" s="1"/>
  <c r="C67" i="1" s="1"/>
  <c r="C68" i="1" s="1"/>
  <c r="C71" i="1" s="1"/>
  <c r="C72" i="1" s="1"/>
  <c r="C73" i="1" s="1"/>
  <c r="C74" i="1" s="1"/>
  <c r="C75" i="1" s="1"/>
  <c r="C77" i="1" s="1"/>
  <c r="C78" i="1" s="1"/>
  <c r="C79" i="1" s="1"/>
  <c r="C80" i="1" s="1"/>
  <c r="C81" i="1" s="1"/>
  <c r="C82" i="1" s="1"/>
  <c r="C83" i="1" s="1"/>
  <c r="C84" i="1" s="1"/>
  <c r="C86" i="1" s="1"/>
  <c r="C87" i="1" s="1"/>
  <c r="C88" i="1" s="1"/>
  <c r="C89" i="1" s="1"/>
  <c r="C91" i="1" s="1"/>
  <c r="C92" i="1" s="1"/>
  <c r="C93" i="1" s="1"/>
  <c r="C94" i="1" s="1"/>
  <c r="C95" i="1" s="1"/>
  <c r="C96" i="1" s="1"/>
  <c r="C97" i="1" s="1"/>
  <c r="C98" i="1" s="1"/>
  <c r="C100" i="1" s="1"/>
  <c r="C101" i="1" s="1"/>
  <c r="C102" i="1" s="1"/>
  <c r="C103" i="1" s="1"/>
  <c r="C104" i="1" s="1"/>
  <c r="C105" i="1" s="1"/>
  <c r="C107" i="1" s="1"/>
  <c r="C108" i="1" s="1"/>
  <c r="C109" i="1" s="1"/>
  <c r="C110" i="1" s="1"/>
  <c r="C111" i="1" s="1"/>
  <c r="C112" i="1" s="1"/>
  <c r="C113" i="1" s="1"/>
  <c r="C114" i="1" s="1"/>
  <c r="C115" i="1" s="1"/>
  <c r="C117" i="1" s="1"/>
  <c r="C118" i="1" s="1"/>
  <c r="C119" i="1" s="1"/>
  <c r="C120" i="1" s="1"/>
  <c r="C121" i="1" s="1"/>
  <c r="C122" i="1" s="1"/>
  <c r="C123" i="1" s="1"/>
  <c r="C125" i="1" s="1"/>
  <c r="C126" i="1" s="1"/>
  <c r="C127" i="1" s="1"/>
  <c r="C128" i="1" s="1"/>
  <c r="C129" i="1" s="1"/>
  <c r="C130" i="1" s="1"/>
  <c r="C131" i="1" s="1"/>
  <c r="C132" i="1" s="1"/>
  <c r="C133" i="1" s="1"/>
  <c r="C136" i="1" s="1"/>
  <c r="C137" i="1" s="1"/>
  <c r="C138" i="1" s="1"/>
  <c r="C139" i="1" s="1"/>
  <c r="C140" i="1" s="1"/>
  <c r="C141" i="1" s="1"/>
  <c r="C142" i="1" s="1"/>
  <c r="C143" i="1" s="1"/>
  <c r="C144" i="1" s="1"/>
  <c r="C146" i="1" s="1"/>
  <c r="C147" i="1" s="1"/>
  <c r="C148" i="1" s="1"/>
  <c r="C149" i="1" s="1"/>
  <c r="C150" i="1" s="1"/>
  <c r="C151" i="1" s="1"/>
  <c r="C152" i="1" s="1"/>
  <c r="C153" i="1" s="1"/>
  <c r="C154" i="1" s="1"/>
  <c r="C156" i="1" s="1"/>
  <c r="C157" i="1" s="1"/>
  <c r="C158" i="1" s="1"/>
  <c r="C159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6" i="1" s="1"/>
  <c r="C177" i="1" s="1"/>
  <c r="C178" i="1" s="1"/>
  <c r="C179" i="1" s="1"/>
  <c r="C180" i="1" s="1"/>
  <c r="C182" i="1" s="1"/>
  <c r="C183" i="1" s="1"/>
  <c r="C184" i="1" s="1"/>
  <c r="C185" i="1" s="1"/>
  <c r="C186" i="1" s="1"/>
  <c r="C187" i="1" s="1"/>
  <c r="C188" i="1" s="1"/>
  <c r="C189" i="1" s="1"/>
  <c r="C191" i="1" s="1"/>
  <c r="C192" i="1" s="1"/>
  <c r="C193" i="1" s="1"/>
  <c r="C194" i="1" s="1"/>
  <c r="C195" i="1" s="1"/>
  <c r="C196" i="1" s="1"/>
  <c r="C197" i="1" s="1"/>
  <c r="C198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6" i="1" s="1"/>
  <c r="C227" i="1" l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9" i="1" l="1"/>
  <c r="C240" i="1" s="1"/>
  <c r="C241" i="1" s="1"/>
  <c r="C242" i="1" s="1"/>
  <c r="C243" i="1" s="1"/>
  <c r="C244" i="1" s="1"/>
  <c r="C245" i="1" s="1"/>
  <c r="C246" i="1" s="1"/>
  <c r="C248" i="1" s="1"/>
  <c r="C249" i="1" s="1"/>
  <c r="C250" i="1" l="1"/>
  <c r="C251" i="1" s="1"/>
  <c r="C252" i="1" s="1"/>
  <c r="C253" i="1" s="1"/>
  <c r="C254" i="1" s="1"/>
  <c r="C255" i="1" s="1"/>
  <c r="C257" i="1" s="1"/>
  <c r="C258" i="1" s="1"/>
  <c r="C259" i="1" l="1"/>
  <c r="C260" i="1" s="1"/>
  <c r="C261" i="1" s="1"/>
  <c r="C262" i="1" s="1"/>
  <c r="C263" i="1" s="1"/>
  <c r="C265" i="1" s="1"/>
  <c r="C266" i="1" s="1"/>
  <c r="C267" i="1" l="1"/>
  <c r="C268" i="1" s="1"/>
  <c r="C269" i="1" s="1"/>
  <c r="C270" i="1" s="1"/>
  <c r="C271" i="1" s="1"/>
  <c r="C272" i="1" s="1"/>
  <c r="C273" i="1" s="1"/>
  <c r="C274" i="1" s="1"/>
  <c r="C276" i="1" s="1"/>
  <c r="C277" i="1" s="1"/>
  <c r="C278" i="1" l="1"/>
  <c r="C279" i="1" s="1"/>
  <c r="C280" i="1" s="1"/>
  <c r="C281" i="1" s="1"/>
  <c r="C282" i="1" s="1"/>
  <c r="C284" i="1" s="1"/>
  <c r="C285" i="1" s="1"/>
  <c r="C286" i="1" l="1"/>
  <c r="C287" i="1" s="1"/>
  <c r="C288" i="1" s="1"/>
  <c r="C289" i="1" s="1"/>
  <c r="C290" i="1" s="1"/>
  <c r="C291" i="1" s="1"/>
  <c r="C292" i="1" s="1"/>
  <c r="C295" i="1" s="1"/>
  <c r="C296" i="1" s="1"/>
  <c r="C297" i="1" l="1"/>
  <c r="C298" i="1" s="1"/>
  <c r="C299" i="1" s="1"/>
  <c r="C300" i="1" s="1"/>
  <c r="C302" i="1" s="1"/>
  <c r="C303" i="1" s="1"/>
  <c r="C304" i="1" l="1"/>
  <c r="C305" i="1" s="1"/>
  <c r="C306" i="1" s="1"/>
  <c r="C307" i="1" s="1"/>
  <c r="C308" i="1" s="1"/>
  <c r="C310" i="1" s="1"/>
  <c r="C311" i="1" s="1"/>
  <c r="C312" i="1" l="1"/>
  <c r="C313" i="1" s="1"/>
  <c r="C315" i="1" s="1"/>
  <c r="C316" i="1" s="1"/>
  <c r="C317" i="1" l="1"/>
  <c r="C318" i="1" s="1"/>
  <c r="C319" i="1" s="1"/>
  <c r="C320" i="1" s="1"/>
  <c r="C321" i="1" s="1"/>
  <c r="C323" i="1" s="1"/>
  <c r="C324" i="1" s="1"/>
  <c r="C325" i="1" l="1"/>
  <c r="C326" i="1" s="1"/>
  <c r="C328" i="1" s="1"/>
  <c r="C329" i="1" s="1"/>
  <c r="C330" i="1" l="1"/>
  <c r="C331" i="1" s="1"/>
  <c r="C332" i="1" s="1"/>
  <c r="C333" i="1" s="1"/>
  <c r="C334" i="1" s="1"/>
  <c r="C336" i="1" s="1"/>
  <c r="C337" i="1" s="1"/>
  <c r="C338" i="1" l="1"/>
  <c r="C339" i="1" s="1"/>
  <c r="C340" i="1" s="1"/>
  <c r="C341" i="1" s="1"/>
  <c r="C342" i="1" s="1"/>
  <c r="C344" i="1" s="1"/>
  <c r="C345" i="1" s="1"/>
  <c r="C346" i="1" l="1"/>
  <c r="C347" i="1" s="1"/>
  <c r="C348" i="1" s="1"/>
  <c r="C349" i="1" s="1"/>
  <c r="C350" i="1" s="1"/>
  <c r="C352" i="1" s="1"/>
  <c r="C353" i="1" s="1"/>
  <c r="C354" i="1" l="1"/>
  <c r="C355" i="1" s="1"/>
  <c r="C356" i="1" s="1"/>
  <c r="C357" i="1" s="1"/>
  <c r="C360" i="1" s="1"/>
  <c r="C361" i="1" s="1"/>
  <c r="C362" i="1" l="1"/>
  <c r="C363" i="1" s="1"/>
  <c r="C364" i="1" s="1"/>
  <c r="C365" i="1" s="1"/>
  <c r="C366" i="1" s="1"/>
  <c r="C367" i="1" s="1"/>
  <c r="C368" i="1" s="1"/>
  <c r="C369" i="1" s="1"/>
  <c r="C371" i="1" s="1"/>
  <c r="C372" i="1" s="1"/>
  <c r="C373" i="1" l="1"/>
  <c r="C374" i="1" s="1"/>
  <c r="C375" i="1" s="1"/>
  <c r="C376" i="1" s="1"/>
  <c r="C377" i="1" s="1"/>
  <c r="C378" i="1" s="1"/>
  <c r="C380" i="1" s="1"/>
  <c r="C381" i="1" s="1"/>
  <c r="C382" i="1" l="1"/>
  <c r="C384" i="1" s="1"/>
  <c r="C385" i="1" s="1"/>
  <c r="C386" i="1" l="1"/>
  <c r="C387" i="1" s="1"/>
  <c r="C388" i="1" s="1"/>
  <c r="C389" i="1" s="1"/>
  <c r="C390" i="1" s="1"/>
  <c r="C392" i="1" s="1"/>
  <c r="C393" i="1" s="1"/>
  <c r="C394" i="1" l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6" i="1" s="1"/>
  <c r="C407" i="1" s="1"/>
  <c r="C408" i="1" l="1"/>
  <c r="C409" i="1" s="1"/>
  <c r="C410" i="1" s="1"/>
  <c r="C411" i="1" s="1"/>
  <c r="C414" i="1" s="1"/>
  <c r="C415" i="1" s="1"/>
  <c r="C416" i="1" l="1"/>
  <c r="C417" i="1" s="1"/>
  <c r="C418" i="1" s="1"/>
  <c r="C420" i="1" s="1"/>
  <c r="C421" i="1" s="1"/>
  <c r="C422" i="1" l="1"/>
  <c r="C423" i="1" s="1"/>
  <c r="C424" i="1" s="1"/>
  <c r="C425" i="1" s="1"/>
  <c r="C426" i="1" s="1"/>
  <c r="C427" i="1" s="1"/>
  <c r="C428" i="1" s="1"/>
  <c r="C430" i="1" s="1"/>
  <c r="C431" i="1" s="1"/>
  <c r="C432" i="1" l="1"/>
  <c r="C433" i="1" s="1"/>
  <c r="C434" i="1" s="1"/>
  <c r="C435" i="1" s="1"/>
  <c r="C436" i="1" s="1"/>
  <c r="C437" i="1" s="1"/>
  <c r="C439" i="1" s="1"/>
  <c r="C440" i="1" s="1"/>
  <c r="C441" i="1" l="1"/>
  <c r="C442" i="1" s="1"/>
  <c r="C443" i="1" s="1"/>
  <c r="C444" i="1" s="1"/>
  <c r="C446" i="1" s="1"/>
  <c r="C447" i="1" s="1"/>
  <c r="C448" i="1" l="1"/>
  <c r="C449" i="1" s="1"/>
  <c r="C450" i="1" s="1"/>
  <c r="C451" i="1" s="1"/>
  <c r="C452" i="1" s="1"/>
  <c r="C454" i="1" s="1"/>
  <c r="C455" i="1" s="1"/>
  <c r="C456" i="1" l="1"/>
  <c r="C457" i="1" s="1"/>
  <c r="C458" i="1" s="1"/>
  <c r="C460" i="1" s="1"/>
  <c r="C461" i="1" s="1"/>
  <c r="C462" i="1" s="1"/>
  <c r="C463" i="1" s="1"/>
  <c r="C464" i="1" s="1"/>
  <c r="C465" i="1" s="1"/>
  <c r="C466" i="1" s="1"/>
  <c r="C467" i="1" s="1"/>
</calcChain>
</file>

<file path=xl/sharedStrings.xml><?xml version="1.0" encoding="utf-8"?>
<sst xmlns="http://schemas.openxmlformats.org/spreadsheetml/2006/main" count="1746" uniqueCount="1217">
  <si>
    <t>MVU WISE DAILY REPORT</t>
  </si>
  <si>
    <t xml:space="preserve">Peravet ID </t>
  </si>
  <si>
    <t>Week Off</t>
  </si>
  <si>
    <t>Sr.No.</t>
  </si>
  <si>
    <t>Division</t>
  </si>
  <si>
    <t>District</t>
  </si>
  <si>
    <t xml:space="preserve">Block </t>
  </si>
  <si>
    <t xml:space="preserve">Vehicle Number </t>
  </si>
  <si>
    <t>BHOPAL</t>
  </si>
  <si>
    <t>BETUL</t>
  </si>
  <si>
    <t>Dist. Head Quarter</t>
  </si>
  <si>
    <t>MP02ZA0154</t>
  </si>
  <si>
    <t>Aathner</t>
  </si>
  <si>
    <t>MP02ZA0136</t>
  </si>
  <si>
    <t>Amla</t>
  </si>
  <si>
    <t>MP02ZA0175</t>
  </si>
  <si>
    <t>Betul</t>
  </si>
  <si>
    <t>MP02ZA0257</t>
  </si>
  <si>
    <t>Bhainsdehi</t>
  </si>
  <si>
    <t>MP02ZA0180</t>
  </si>
  <si>
    <t>Bhimpur</t>
  </si>
  <si>
    <t>MP02ZA0148</t>
  </si>
  <si>
    <t>Chicholi</t>
  </si>
  <si>
    <t>MP02ZA0181</t>
  </si>
  <si>
    <t>Ghoradongari</t>
  </si>
  <si>
    <t>MP02ZA0294</t>
  </si>
  <si>
    <t>Multai</t>
  </si>
  <si>
    <t>MP02ZA0113</t>
  </si>
  <si>
    <t>Prabhatpattan</t>
  </si>
  <si>
    <t>MP02ZA0191</t>
  </si>
  <si>
    <t>Shahpur</t>
  </si>
  <si>
    <t>MP02ZA0152</t>
  </si>
  <si>
    <t>DISTRICT TOTAL</t>
  </si>
  <si>
    <t>MP02ZA0162</t>
  </si>
  <si>
    <t>Berasia</t>
  </si>
  <si>
    <t>MP02ZA0286</t>
  </si>
  <si>
    <t>Phanda</t>
  </si>
  <si>
    <t>MP02ZA0173</t>
  </si>
  <si>
    <t>HARDA</t>
  </si>
  <si>
    <t>MP02ZA0127</t>
  </si>
  <si>
    <t>Harda</t>
  </si>
  <si>
    <t>MP02ZA0485</t>
  </si>
  <si>
    <t>Khirkiya</t>
  </si>
  <si>
    <t>MP02ZA0235</t>
  </si>
  <si>
    <t>Timarni</t>
  </si>
  <si>
    <t>MP02ZA0386</t>
  </si>
  <si>
    <t>MP02ZA0120</t>
  </si>
  <si>
    <t>Babai</t>
  </si>
  <si>
    <t>MP02ZA0155</t>
  </si>
  <si>
    <t>Bankhedi</t>
  </si>
  <si>
    <t>MP02ZA0169</t>
  </si>
  <si>
    <t>Hoshangabad</t>
  </si>
  <si>
    <t>MP02ZA0204</t>
  </si>
  <si>
    <t>MP02ZA0143</t>
  </si>
  <si>
    <t>Pipriya</t>
  </si>
  <si>
    <t>MP02ZA0137</t>
  </si>
  <si>
    <t>Seoni Malwa</t>
  </si>
  <si>
    <t>MP02ZA0174</t>
  </si>
  <si>
    <t>Sohagpur</t>
  </si>
  <si>
    <t>MP02ZA0164</t>
  </si>
  <si>
    <t>RAISEN</t>
  </si>
  <si>
    <t>MP02ZA0189</t>
  </si>
  <si>
    <t>Badi</t>
  </si>
  <si>
    <t>MP02ZA0168</t>
  </si>
  <si>
    <t>Begamganj</t>
  </si>
  <si>
    <t>MP02ZA0188</t>
  </si>
  <si>
    <t>Gairatganj</t>
  </si>
  <si>
    <t>MP02ZA0132</t>
  </si>
  <si>
    <t>Obedullaganj</t>
  </si>
  <si>
    <t>MP02ZA0190</t>
  </si>
  <si>
    <t>Sanchi</t>
  </si>
  <si>
    <t>MP02ZA0147</t>
  </si>
  <si>
    <t>Silwani</t>
  </si>
  <si>
    <t>MP02ZA0161</t>
  </si>
  <si>
    <t>Udaipura</t>
  </si>
  <si>
    <t>MP02ZA0107</t>
  </si>
  <si>
    <t>RAJGARH</t>
  </si>
  <si>
    <t>MP02ZA0225</t>
  </si>
  <si>
    <t>Baiora</t>
  </si>
  <si>
    <t>MP02ZA0170</t>
  </si>
  <si>
    <t>Jeerapur</t>
  </si>
  <si>
    <t>MP02ZA0112</t>
  </si>
  <si>
    <t>Khilchipur</t>
  </si>
  <si>
    <t>MP02ZA0153</t>
  </si>
  <si>
    <t>Narsinghgarh</t>
  </si>
  <si>
    <t>MP02ZA0133</t>
  </si>
  <si>
    <t>MP02ZA0115</t>
  </si>
  <si>
    <t>Rajgarh</t>
  </si>
  <si>
    <t>MP02ZA0224</t>
  </si>
  <si>
    <t>MP02ZA0221</t>
  </si>
  <si>
    <t>Sarangpur</t>
  </si>
  <si>
    <t>MP02ZA0383</t>
  </si>
  <si>
    <t>SEHORE</t>
  </si>
  <si>
    <t>MP02ZA0240</t>
  </si>
  <si>
    <t>Ashta</t>
  </si>
  <si>
    <t>MP02ZA0178</t>
  </si>
  <si>
    <t>MP02ZA0284</t>
  </si>
  <si>
    <t>Budhani</t>
  </si>
  <si>
    <t>MP02ZA0194</t>
  </si>
  <si>
    <t>Icchawar</t>
  </si>
  <si>
    <t>MP02ZA0150</t>
  </si>
  <si>
    <t>Nasrullagang</t>
  </si>
  <si>
    <t>MP02ZA0177</t>
  </si>
  <si>
    <t>Sehore</t>
  </si>
  <si>
    <t>MP02ZA0251</t>
  </si>
  <si>
    <t>MP02ZA0117</t>
  </si>
  <si>
    <t>VIDISHA</t>
  </si>
  <si>
    <t>MP02ZA0183</t>
  </si>
  <si>
    <t>MP02ZA0122</t>
  </si>
  <si>
    <t>Gyaraspur</t>
  </si>
  <si>
    <t>MP02ZA0244</t>
  </si>
  <si>
    <t>Kurwai</t>
  </si>
  <si>
    <t>MP02ZA0193</t>
  </si>
  <si>
    <t>Lateri</t>
  </si>
  <si>
    <t>MP02ZA0129</t>
  </si>
  <si>
    <t>Nateran</t>
  </si>
  <si>
    <t>MP02ZA0118</t>
  </si>
  <si>
    <t>Sironj</t>
  </si>
  <si>
    <t>MP02ZA0119</t>
  </si>
  <si>
    <t>Vidisha</t>
  </si>
  <si>
    <t>MP02ZA0149</t>
  </si>
  <si>
    <t>DIVISION TOTAL</t>
  </si>
  <si>
    <t>GWALIOR</t>
  </si>
  <si>
    <t>ASHOKNAGAR</t>
  </si>
  <si>
    <t>MP02ZA0208</t>
  </si>
  <si>
    <t>Ashok Nagar</t>
  </si>
  <si>
    <t>MP02ZA0492</t>
  </si>
  <si>
    <t>Chanderi</t>
  </si>
  <si>
    <t>MP02ZA0266</t>
  </si>
  <si>
    <t>Esagarh</t>
  </si>
  <si>
    <t>MP02ZA0571</t>
  </si>
  <si>
    <t>Mungaoli</t>
  </si>
  <si>
    <t>MP02ZA0273</t>
  </si>
  <si>
    <t>BHIND</t>
  </si>
  <si>
    <t>MP02ZA0282</t>
  </si>
  <si>
    <t>Ater</t>
  </si>
  <si>
    <t>MP02ZA0287</t>
  </si>
  <si>
    <t>Bhind</t>
  </si>
  <si>
    <t>MP02ZA0259</t>
  </si>
  <si>
    <t>Gohad - 1</t>
  </si>
  <si>
    <t>MP02ZA0272</t>
  </si>
  <si>
    <t>Gohad - 2</t>
  </si>
  <si>
    <t>MP02ZA0250</t>
  </si>
  <si>
    <t>Lahar</t>
  </si>
  <si>
    <t>MP02ZA0476</t>
  </si>
  <si>
    <t>Mehgaon</t>
  </si>
  <si>
    <t>MP02ZA0554</t>
  </si>
  <si>
    <t>Ron</t>
  </si>
  <si>
    <t>MP02ZA0491</t>
  </si>
  <si>
    <t>DATIA</t>
  </si>
  <si>
    <t>MP02ZA0252</t>
  </si>
  <si>
    <t>Bhander</t>
  </si>
  <si>
    <t>MP02ZA0223</t>
  </si>
  <si>
    <t>Datia</t>
  </si>
  <si>
    <t>MP02ZA0363</t>
  </si>
  <si>
    <t>Sewada</t>
  </si>
  <si>
    <t>MP02ZA0326</t>
  </si>
  <si>
    <t>GUNA</t>
  </si>
  <si>
    <t>MP02ZA0213</t>
  </si>
  <si>
    <t>Aron</t>
  </si>
  <si>
    <t>MP02ZA0432</t>
  </si>
  <si>
    <t>Bamori</t>
  </si>
  <si>
    <t>MP02ZA0361</t>
  </si>
  <si>
    <t>Chachoda</t>
  </si>
  <si>
    <t>MP02ZA0318</t>
  </si>
  <si>
    <t>MP02ZA0403</t>
  </si>
  <si>
    <t>Guna</t>
  </si>
  <si>
    <t>MP02ZA0442</t>
  </si>
  <si>
    <t>MP02ZA0242</t>
  </si>
  <si>
    <t>Raghogarh</t>
  </si>
  <si>
    <t>MP02ZA0206</t>
  </si>
  <si>
    <t>MP02ZA0438</t>
  </si>
  <si>
    <t>Barai(Ghatigaon)</t>
  </si>
  <si>
    <t>MP02ZA0210</t>
  </si>
  <si>
    <t>Bhitarwar</t>
  </si>
  <si>
    <t>MP02ZA0256</t>
  </si>
  <si>
    <t>Dabra</t>
  </si>
  <si>
    <t>MP02ZA0264</t>
  </si>
  <si>
    <t>Morar</t>
  </si>
  <si>
    <t>MP02ZA0247</t>
  </si>
  <si>
    <t>MP02ZA0278</t>
  </si>
  <si>
    <t>MORENA</t>
  </si>
  <si>
    <t>MP02ZA0381</t>
  </si>
  <si>
    <t>Ambah</t>
  </si>
  <si>
    <t>MP02ZA0358</t>
  </si>
  <si>
    <t>Joura</t>
  </si>
  <si>
    <t>MP02ZA0243</t>
  </si>
  <si>
    <t>Kailaras</t>
  </si>
  <si>
    <t>MP02ZA0254</t>
  </si>
  <si>
    <t>Morena</t>
  </si>
  <si>
    <t>MP02ZA0283</t>
  </si>
  <si>
    <t>MP02ZA0269</t>
  </si>
  <si>
    <t>Pahadganj</t>
  </si>
  <si>
    <t>MP02ZA0499</t>
  </si>
  <si>
    <t>Porsa</t>
  </si>
  <si>
    <t>MP02ZA0526</t>
  </si>
  <si>
    <t>Sabalharh</t>
  </si>
  <si>
    <t>MP02ZA0227</t>
  </si>
  <si>
    <t>SHEOPUR</t>
  </si>
  <si>
    <t>MP02ZA0475</t>
  </si>
  <si>
    <t>Karahal</t>
  </si>
  <si>
    <t>MP02ZA0209</t>
  </si>
  <si>
    <t>MP02ZA0217</t>
  </si>
  <si>
    <t>Shyopur</t>
  </si>
  <si>
    <t>MP02ZA0375</t>
  </si>
  <si>
    <t>Vijaypur</t>
  </si>
  <si>
    <t>MP02ZA0450</t>
  </si>
  <si>
    <t>MP02ZA0368</t>
  </si>
  <si>
    <t>MP02ZA0229</t>
  </si>
  <si>
    <t>SHIVPURI</t>
  </si>
  <si>
    <t>MP02ZA0238</t>
  </si>
  <si>
    <t>Badarwas</t>
  </si>
  <si>
    <t>MP02ZA0516</t>
  </si>
  <si>
    <t>Karera</t>
  </si>
  <si>
    <t>MP02ZA0440</t>
  </si>
  <si>
    <t>Khaniyadhana</t>
  </si>
  <si>
    <t>MP02ZA0356</t>
  </si>
  <si>
    <t>Kolaras</t>
  </si>
  <si>
    <t>MP02ZA0574</t>
  </si>
  <si>
    <t>Narwar</t>
  </si>
  <si>
    <t>MP02ZA0469</t>
  </si>
  <si>
    <t>Pichhore</t>
  </si>
  <si>
    <t>MP02ZA0220</t>
  </si>
  <si>
    <t>Pohri</t>
  </si>
  <si>
    <t>MP02ZA0522</t>
  </si>
  <si>
    <t>Shivpuri</t>
  </si>
  <si>
    <t>MP02ZA0480</t>
  </si>
  <si>
    <t>INDORE</t>
  </si>
  <si>
    <t>ALIRAJPUR</t>
  </si>
  <si>
    <t>MP02ZA0339</t>
  </si>
  <si>
    <t>Alirajpur - 1</t>
  </si>
  <si>
    <t>MP02ZA0367</t>
  </si>
  <si>
    <t>Alirajpur - 2</t>
  </si>
  <si>
    <t>MP02ZA0354</t>
  </si>
  <si>
    <t>Bhavra</t>
  </si>
  <si>
    <t>MP02ZA0416</t>
  </si>
  <si>
    <t>Jobat</t>
  </si>
  <si>
    <t>MP02ZA0289</t>
  </si>
  <si>
    <t>Katthiwada</t>
  </si>
  <si>
    <t>MP02ZA0277</t>
  </si>
  <si>
    <t>Sondawa - 1</t>
  </si>
  <si>
    <t>MP02ZA0310</t>
  </si>
  <si>
    <t>Sondawa - 2</t>
  </si>
  <si>
    <t>MP02ZA0390</t>
  </si>
  <si>
    <t>Udaigarh</t>
  </si>
  <si>
    <t>MP02ZA0201</t>
  </si>
  <si>
    <t>BARWANI</t>
  </si>
  <si>
    <t>MP02ZA0236</t>
  </si>
  <si>
    <t>Barwani</t>
  </si>
  <si>
    <t>MP02ZA0128</t>
  </si>
  <si>
    <t>Niwali</t>
  </si>
  <si>
    <t>MP02ZA0246</t>
  </si>
  <si>
    <t>MP02ZA0232</t>
  </si>
  <si>
    <t>Pati</t>
  </si>
  <si>
    <t>MP02ZA0121</t>
  </si>
  <si>
    <t>Rajpur</t>
  </si>
  <si>
    <t>MP02ZA0275</t>
  </si>
  <si>
    <t>Sendhwa</t>
  </si>
  <si>
    <t>MP02ZA0211</t>
  </si>
  <si>
    <t>MP02ZA0230</t>
  </si>
  <si>
    <t>Thikari</t>
  </si>
  <si>
    <t>MP02ZA0258</t>
  </si>
  <si>
    <t>BURHANPUR</t>
  </si>
  <si>
    <t>MP02ZA0109</t>
  </si>
  <si>
    <t>Burhanpur</t>
  </si>
  <si>
    <t>MP02ZA0114</t>
  </si>
  <si>
    <t>MP02ZA0171</t>
  </si>
  <si>
    <t>Khaknar</t>
  </si>
  <si>
    <t>MP02ZA0295</t>
  </si>
  <si>
    <t>DHAR</t>
  </si>
  <si>
    <t>MP02ZA0203</t>
  </si>
  <si>
    <t>Badnawar</t>
  </si>
  <si>
    <t>MP02ZA0387</t>
  </si>
  <si>
    <t>Bag</t>
  </si>
  <si>
    <t>MP02ZA0255</t>
  </si>
  <si>
    <t>Dahi</t>
  </si>
  <si>
    <t>MP02ZA0463</t>
  </si>
  <si>
    <t>Dhar</t>
  </si>
  <si>
    <t>MP02ZA0328</t>
  </si>
  <si>
    <t>Dharampuri</t>
  </si>
  <si>
    <t>MP02ZA0301</t>
  </si>
  <si>
    <t>Gandhwani</t>
  </si>
  <si>
    <t>MP02ZA0321</t>
  </si>
  <si>
    <t>Kukshi</t>
  </si>
  <si>
    <t>MP02ZA0369</t>
  </si>
  <si>
    <t>Manawar</t>
  </si>
  <si>
    <t>MP02ZA0359</t>
  </si>
  <si>
    <t>Nalchha</t>
  </si>
  <si>
    <t>MP02ZA0313</t>
  </si>
  <si>
    <t>Nisarpur</t>
  </si>
  <si>
    <t>MP02ZA0336</t>
  </si>
  <si>
    <t>Sardarpur</t>
  </si>
  <si>
    <t>MP02ZA0394</t>
  </si>
  <si>
    <t>Tirla</t>
  </si>
  <si>
    <t>MP02ZA0365</t>
  </si>
  <si>
    <t>Umarban (Bakaner)</t>
  </si>
  <si>
    <t>MP02ZA0253</t>
  </si>
  <si>
    <t>MP02ZA0529</t>
  </si>
  <si>
    <t>Depalpur</t>
  </si>
  <si>
    <t>MP02ZA0496</t>
  </si>
  <si>
    <t>Indore</t>
  </si>
  <si>
    <t>MP02ZA0467</t>
  </si>
  <si>
    <t>Mhow</t>
  </si>
  <si>
    <t>MP02ZA0248</t>
  </si>
  <si>
    <t>Sanwer</t>
  </si>
  <si>
    <t>MP02ZA0293</t>
  </si>
  <si>
    <t>JHABUA</t>
  </si>
  <si>
    <t>MP02ZA0489</t>
  </si>
  <si>
    <t>Jhabua</t>
  </si>
  <si>
    <t>MP02ZA0299</t>
  </si>
  <si>
    <t>Meghnagar</t>
  </si>
  <si>
    <t>MP02ZA0320</t>
  </si>
  <si>
    <t>Petlawad</t>
  </si>
  <si>
    <t>MP02ZA0241</t>
  </si>
  <si>
    <t>MP02ZA0385</t>
  </si>
  <si>
    <t>Rama</t>
  </si>
  <si>
    <t>MP02ZA0353</t>
  </si>
  <si>
    <t>Ranapur</t>
  </si>
  <si>
    <t>MP02ZA0513</t>
  </si>
  <si>
    <t>Thandla</t>
  </si>
  <si>
    <t>MP02ZA0357</t>
  </si>
  <si>
    <t>KHANDWA</t>
  </si>
  <si>
    <t>MP02ZA0262</t>
  </si>
  <si>
    <t>Chhegaon Makhan</t>
  </si>
  <si>
    <t>MP02ZA0134</t>
  </si>
  <si>
    <t>Harsud</t>
  </si>
  <si>
    <t>MP02ZA0296</t>
  </si>
  <si>
    <t>Khalwa</t>
  </si>
  <si>
    <t>MP02ZA0160</t>
  </si>
  <si>
    <t>Khandwa</t>
  </si>
  <si>
    <t>MP02ZA0260</t>
  </si>
  <si>
    <t>Killod (Baldi)</t>
  </si>
  <si>
    <t>MP02ZA0130</t>
  </si>
  <si>
    <t>Pandhana</t>
  </si>
  <si>
    <t>MP02ZA0131</t>
  </si>
  <si>
    <t>Punasa</t>
  </si>
  <si>
    <t>MP02ZA0291</t>
  </si>
  <si>
    <t>KHARGONE</t>
  </si>
  <si>
    <t>MP02ZA0276</t>
  </si>
  <si>
    <t>Badwaha - 1</t>
  </si>
  <si>
    <t>MP02ZA0233</t>
  </si>
  <si>
    <t>Badwaha - 2</t>
  </si>
  <si>
    <t>MP02ZA0297</t>
  </si>
  <si>
    <t>Bhagwanpura</t>
  </si>
  <si>
    <t>MP02ZA0218</t>
  </si>
  <si>
    <t>Bhikangaon</t>
  </si>
  <si>
    <t>MP02ZA0412</t>
  </si>
  <si>
    <t>Gogawan</t>
  </si>
  <si>
    <t>MP02ZA0527</t>
  </si>
  <si>
    <t>Jhirnya</t>
  </si>
  <si>
    <t>MP02ZA0587</t>
  </si>
  <si>
    <t>MP02ZA0290</t>
  </si>
  <si>
    <t>Kasrawad</t>
  </si>
  <si>
    <t>MP02ZA0309</t>
  </si>
  <si>
    <t>Khargone</t>
  </si>
  <si>
    <t>MP02ZA0279</t>
  </si>
  <si>
    <t>Maheshwar</t>
  </si>
  <si>
    <t>MP02ZA0559</t>
  </si>
  <si>
    <t>Segaon</t>
  </si>
  <si>
    <t>MP02ZA0396</t>
  </si>
  <si>
    <t>JABALPUR</t>
  </si>
  <si>
    <t>BALAGHAT</t>
  </si>
  <si>
    <t>MP02ZA0478</t>
  </si>
  <si>
    <t>Baihar</t>
  </si>
  <si>
    <t>MP02ZA0497</t>
  </si>
  <si>
    <t>Balaghat</t>
  </si>
  <si>
    <t>MP02ZA0410</t>
  </si>
  <si>
    <t>Birsa</t>
  </si>
  <si>
    <t>MP02ZA0376</t>
  </si>
  <si>
    <t>Katangi</t>
  </si>
  <si>
    <t>MP02ZA0458</t>
  </si>
  <si>
    <t>Khairlanji</t>
  </si>
  <si>
    <t>MP02ZA0417</t>
  </si>
  <si>
    <t>Kirnapur</t>
  </si>
  <si>
    <t>MP02ZA0541</t>
  </si>
  <si>
    <t>Lalbarra</t>
  </si>
  <si>
    <t>MP02ZA0474</t>
  </si>
  <si>
    <t>Lanji</t>
  </si>
  <si>
    <t>MP02ZA0427</t>
  </si>
  <si>
    <t>Paraswada</t>
  </si>
  <si>
    <t>MP02ZA0447</t>
  </si>
  <si>
    <t>Waraseoni</t>
  </si>
  <si>
    <t>MP02ZA0445</t>
  </si>
  <si>
    <t>CHHINDWARA</t>
  </si>
  <si>
    <t>MP02ZA0449</t>
  </si>
  <si>
    <t>Amarwara</t>
  </si>
  <si>
    <t>MP02ZA0494</t>
  </si>
  <si>
    <t>Bichhua</t>
  </si>
  <si>
    <t>MP02ZA0460</t>
  </si>
  <si>
    <t>Chhindwara</t>
  </si>
  <si>
    <t>MP02ZA0446</t>
  </si>
  <si>
    <t>Churai</t>
  </si>
  <si>
    <t>MP02ZA0488</t>
  </si>
  <si>
    <t>MP02ZA0576</t>
  </si>
  <si>
    <t>Junnardeo (Jamai)</t>
  </si>
  <si>
    <t>MP02ZA0343</t>
  </si>
  <si>
    <t>Mohkhed</t>
  </si>
  <si>
    <t>MP02ZA0314</t>
  </si>
  <si>
    <t>Pandhurna</t>
  </si>
  <si>
    <t>MP02ZA0468</t>
  </si>
  <si>
    <t>Parasia</t>
  </si>
  <si>
    <t>MP02ZA0453</t>
  </si>
  <si>
    <t>Saunsar</t>
  </si>
  <si>
    <t>MP02ZA0464</t>
  </si>
  <si>
    <t>Tamia</t>
  </si>
  <si>
    <t>MP02ZA0322</t>
  </si>
  <si>
    <t>DINDORI</t>
  </si>
  <si>
    <t>MP02ZA0589</t>
  </si>
  <si>
    <t>Amarpur</t>
  </si>
  <si>
    <t>MP02ZA0407</t>
  </si>
  <si>
    <t>Bajag</t>
  </si>
  <si>
    <t>MP02ZA0481</t>
  </si>
  <si>
    <t>Dindori</t>
  </si>
  <si>
    <t>MP02ZA0443</t>
  </si>
  <si>
    <t>Karanjiya</t>
  </si>
  <si>
    <t>MP02ZA0362</t>
  </si>
  <si>
    <t>Mehadwani</t>
  </si>
  <si>
    <t>MP02ZA0327</t>
  </si>
  <si>
    <t>Samnapur</t>
  </si>
  <si>
    <t>MP02ZA0457</t>
  </si>
  <si>
    <t>Shahpura</t>
  </si>
  <si>
    <t>MP02ZA0405</t>
  </si>
  <si>
    <t>MP02ZA0382</t>
  </si>
  <si>
    <t>Jabalpur</t>
  </si>
  <si>
    <t>MP02ZA0316</t>
  </si>
  <si>
    <t>Kundam</t>
  </si>
  <si>
    <t>MP02ZA0414</t>
  </si>
  <si>
    <t>Majholi</t>
  </si>
  <si>
    <t>MP02ZA0374</t>
  </si>
  <si>
    <t>Panagar</t>
  </si>
  <si>
    <t>MP02ZA0419</t>
  </si>
  <si>
    <t>Patan</t>
  </si>
  <si>
    <t>MP02ZA0347</t>
  </si>
  <si>
    <t>Sehora</t>
  </si>
  <si>
    <t>MP02ZA0319</t>
  </si>
  <si>
    <t>MP02ZA0373</t>
  </si>
  <si>
    <t>KATNI</t>
  </si>
  <si>
    <t>MP02ZA0473</t>
  </si>
  <si>
    <t>Bahoriband</t>
  </si>
  <si>
    <t>MP02ZA0408</t>
  </si>
  <si>
    <t>Barwara</t>
  </si>
  <si>
    <t>MP02ZA0324</t>
  </si>
  <si>
    <t>Dhimarkheda</t>
  </si>
  <si>
    <t>MP02ZA0409</t>
  </si>
  <si>
    <t>Katni</t>
  </si>
  <si>
    <t>MP02ZA0350</t>
  </si>
  <si>
    <t>Rithi</t>
  </si>
  <si>
    <t>MP02ZA0371</t>
  </si>
  <si>
    <t>Vijayraghogarh</t>
  </si>
  <si>
    <t>MP02ZA0342</t>
  </si>
  <si>
    <t>MANDLA</t>
  </si>
  <si>
    <t>MP02ZA0477</t>
  </si>
  <si>
    <t>Bichhiya</t>
  </si>
  <si>
    <t>MP02ZA0379</t>
  </si>
  <si>
    <t>Bijadodi</t>
  </si>
  <si>
    <t>MP02ZA0401</t>
  </si>
  <si>
    <t>Ghugari</t>
  </si>
  <si>
    <t>MP02ZA0459</t>
  </si>
  <si>
    <t>Mandla</t>
  </si>
  <si>
    <t>MP02ZA0572</t>
  </si>
  <si>
    <t>Mawai</t>
  </si>
  <si>
    <t>MP02ZA0528</t>
  </si>
  <si>
    <t>Mohgaon</t>
  </si>
  <si>
    <t>MP02ZA0532</t>
  </si>
  <si>
    <t>Nainpur</t>
  </si>
  <si>
    <t>MP02ZA0420</t>
  </si>
  <si>
    <t>Narayanganj</t>
  </si>
  <si>
    <t>MP02ZA0398</t>
  </si>
  <si>
    <t>Niwas</t>
  </si>
  <si>
    <t>MP02ZA0504</t>
  </si>
  <si>
    <t>NARSINGHPUR</t>
  </si>
  <si>
    <t>MP02ZA0332</t>
  </si>
  <si>
    <t>Chawarpatha</t>
  </si>
  <si>
    <t>MP02ZA0351</t>
  </si>
  <si>
    <t>Chichli</t>
  </si>
  <si>
    <t>MP02ZA0305</t>
  </si>
  <si>
    <t>Gotegaon</t>
  </si>
  <si>
    <t>MP02ZA0448</t>
  </si>
  <si>
    <t>Kareli</t>
  </si>
  <si>
    <t>MP02ZA0306</t>
  </si>
  <si>
    <t>Narsinghpur</t>
  </si>
  <si>
    <t>MP02ZA0395</t>
  </si>
  <si>
    <t>Saikheda</t>
  </si>
  <si>
    <t>MP02ZA0452</t>
  </si>
  <si>
    <t>SEONI</t>
  </si>
  <si>
    <t>MP02ZA0433</t>
  </si>
  <si>
    <t>Barghat</t>
  </si>
  <si>
    <t>MP02ZA0479</t>
  </si>
  <si>
    <t>Chhapara</t>
  </si>
  <si>
    <t>MP02ZA0317</t>
  </si>
  <si>
    <t>Dhanaura</t>
  </si>
  <si>
    <t>MP02ZA0437</t>
  </si>
  <si>
    <t>Ghansaur</t>
  </si>
  <si>
    <t>MP02ZA0366</t>
  </si>
  <si>
    <t>Kewlari</t>
  </si>
  <si>
    <t>MP02ZA0406</t>
  </si>
  <si>
    <t>Kurai</t>
  </si>
  <si>
    <t>MP02ZA0553</t>
  </si>
  <si>
    <t>Lakhnadon</t>
  </si>
  <si>
    <t>MP02ZA0598</t>
  </si>
  <si>
    <t>Seoni</t>
  </si>
  <si>
    <t>MP02ZA0393</t>
  </si>
  <si>
    <t>REWA</t>
  </si>
  <si>
    <t>ANUPPUR</t>
  </si>
  <si>
    <t>MP02ZA0592</t>
  </si>
  <si>
    <t>Anuppur</t>
  </si>
  <si>
    <t>MP02ZA0512</t>
  </si>
  <si>
    <t>Jaithari</t>
  </si>
  <si>
    <t>MP02ZA0521</t>
  </si>
  <si>
    <t>Kotma</t>
  </si>
  <si>
    <t>MP02ZA0546</t>
  </si>
  <si>
    <t>Pushprajgarh - 1</t>
  </si>
  <si>
    <t>MP02ZA0585</t>
  </si>
  <si>
    <t>Pushprajgarh - 2</t>
  </si>
  <si>
    <t>MP02ZA0418</t>
  </si>
  <si>
    <t>MP02ZA0558</t>
  </si>
  <si>
    <t>Gangew</t>
  </si>
  <si>
    <t>MP02ZA0583</t>
  </si>
  <si>
    <t>Hanumana</t>
  </si>
  <si>
    <t>MP02ZA0524</t>
  </si>
  <si>
    <t>MP02ZA0581</t>
  </si>
  <si>
    <t>Jawa</t>
  </si>
  <si>
    <t>MP02ZA0596</t>
  </si>
  <si>
    <t>Mauganj</t>
  </si>
  <si>
    <t>MP02ZA0428</t>
  </si>
  <si>
    <t>Naigarhi</t>
  </si>
  <si>
    <t>MP02ZA0502</t>
  </si>
  <si>
    <t>Raipur Karchiliyan</t>
  </si>
  <si>
    <t>MP02ZA0599</t>
  </si>
  <si>
    <t>Rewa</t>
  </si>
  <si>
    <t>MP02ZA0517</t>
  </si>
  <si>
    <t>Sirmour</t>
  </si>
  <si>
    <t>MP02ZA0441</t>
  </si>
  <si>
    <t>Teonthar</t>
  </si>
  <si>
    <t>MP02ZA0582</t>
  </si>
  <si>
    <t>SATNA</t>
  </si>
  <si>
    <t>MP02ZA0569</t>
  </si>
  <si>
    <t>Amarpatan</t>
  </si>
  <si>
    <t>MP02ZA0455</t>
  </si>
  <si>
    <t>Maihar</t>
  </si>
  <si>
    <t>MP02ZA0575</t>
  </si>
  <si>
    <t>MP02ZA0561</t>
  </si>
  <si>
    <t>Majhgawa</t>
  </si>
  <si>
    <t>MP02ZA0547</t>
  </si>
  <si>
    <t>MP02ZA0472</t>
  </si>
  <si>
    <t>Nagod</t>
  </si>
  <si>
    <t>MP02ZA0411</t>
  </si>
  <si>
    <t>Ramnagar</t>
  </si>
  <si>
    <t>MP02ZA0538</t>
  </si>
  <si>
    <t>Rampur Baghelan</t>
  </si>
  <si>
    <t>MP02ZA0595</t>
  </si>
  <si>
    <t>Suhawal</t>
  </si>
  <si>
    <t>MP02ZA0564</t>
  </si>
  <si>
    <t>Uchehara</t>
  </si>
  <si>
    <t>MP02ZA0422</t>
  </si>
  <si>
    <t>SHAHDOL</t>
  </si>
  <si>
    <t>MP02ZA0570</t>
  </si>
  <si>
    <t>Beohari</t>
  </si>
  <si>
    <t>MP02ZA0557</t>
  </si>
  <si>
    <t>Budhar</t>
  </si>
  <si>
    <t>MP02ZA0506</t>
  </si>
  <si>
    <t>Gohparu</t>
  </si>
  <si>
    <t>MP02ZA0584</t>
  </si>
  <si>
    <t>Jaisinghnagar - 1</t>
  </si>
  <si>
    <t>MP02ZA0436</t>
  </si>
  <si>
    <t>Jaisinghnagar - 2</t>
  </si>
  <si>
    <t>MP02ZA0487</t>
  </si>
  <si>
    <t>MP02ZA0542</t>
  </si>
  <si>
    <t>SIDHI</t>
  </si>
  <si>
    <t>MP02ZA0454</t>
  </si>
  <si>
    <t>Kusmi</t>
  </si>
  <si>
    <t>MP02ZA0580</t>
  </si>
  <si>
    <t>MP02ZA0560</t>
  </si>
  <si>
    <t>Rampur Naikin</t>
  </si>
  <si>
    <t>MP02ZA0484</t>
  </si>
  <si>
    <t>Sidhi</t>
  </si>
  <si>
    <t>MP02ZA0563</t>
  </si>
  <si>
    <t>MP02ZA0465</t>
  </si>
  <si>
    <t>Sihawal</t>
  </si>
  <si>
    <t>MP02ZA0424</t>
  </si>
  <si>
    <t>SINGRAULI</t>
  </si>
  <si>
    <t>MP02ZA0568</t>
  </si>
  <si>
    <t>Baidhan - 1</t>
  </si>
  <si>
    <t>MP02ZA0451</t>
  </si>
  <si>
    <t>Baidhan - 2</t>
  </si>
  <si>
    <t>MP02ZA0533</t>
  </si>
  <si>
    <t>Chitrangi - 2</t>
  </si>
  <si>
    <t>MP02ZA0590</t>
  </si>
  <si>
    <t>Chitrangim- 1</t>
  </si>
  <si>
    <t>MP02ZA0510</t>
  </si>
  <si>
    <t>Devsar - 1</t>
  </si>
  <si>
    <t>MP02ZA0535</t>
  </si>
  <si>
    <t>Devsar - 2</t>
  </si>
  <si>
    <t>MP02ZA0508</t>
  </si>
  <si>
    <t>UMARIA</t>
  </si>
  <si>
    <t>MP02ZA0520</t>
  </si>
  <si>
    <t>Manpur</t>
  </si>
  <si>
    <t>MP02ZA0509</t>
  </si>
  <si>
    <t>MP02ZA0566</t>
  </si>
  <si>
    <t>Pali</t>
  </si>
  <si>
    <t>MP02ZA0483</t>
  </si>
  <si>
    <t>Umaria(karkeli)</t>
  </si>
  <si>
    <t>MP02ZA0413</t>
  </si>
  <si>
    <t>MP02ZA0434</t>
  </si>
  <si>
    <t>SAGAR</t>
  </si>
  <si>
    <t>CHHATARPUR</t>
  </si>
  <si>
    <t>MP02ZA0308</t>
  </si>
  <si>
    <t>Badamalhara</t>
  </si>
  <si>
    <t>MP02ZA0280</t>
  </si>
  <si>
    <t>Bakaswaha</t>
  </si>
  <si>
    <t>MP02ZA0377</t>
  </si>
  <si>
    <t>Bijawar</t>
  </si>
  <si>
    <t>MP02ZA0245</t>
  </si>
  <si>
    <t>Chhatarpur</t>
  </si>
  <si>
    <t>MP02ZA0338</t>
  </si>
  <si>
    <t>Gaurihar</t>
  </si>
  <si>
    <t>MP02ZA0214</t>
  </si>
  <si>
    <t>Luvkush nagar</t>
  </si>
  <si>
    <t>MP02ZA0285</t>
  </si>
  <si>
    <t>Nowgaon</t>
  </si>
  <si>
    <t>MP02ZA0261</t>
  </si>
  <si>
    <t>Rajnar</t>
  </si>
  <si>
    <t>MP02ZA0311</t>
  </si>
  <si>
    <t>MP02ZA0270</t>
  </si>
  <si>
    <t>DAMOH</t>
  </si>
  <si>
    <t>MP02ZA0167</t>
  </si>
  <si>
    <t>Batiyagarh</t>
  </si>
  <si>
    <t>MP02ZA0360</t>
  </si>
  <si>
    <t>Damoh</t>
  </si>
  <si>
    <t>MP02ZA0196</t>
  </si>
  <si>
    <t>Hatta</t>
  </si>
  <si>
    <t>MP02ZA0355</t>
  </si>
  <si>
    <t>Jabera</t>
  </si>
  <si>
    <t>MP02ZA0271</t>
  </si>
  <si>
    <t>Patera</t>
  </si>
  <si>
    <t>MP02ZA0205</t>
  </si>
  <si>
    <t>Pathariya</t>
  </si>
  <si>
    <t>MP02ZA0185</t>
  </si>
  <si>
    <t>Tendukheda</t>
  </si>
  <si>
    <t>MP02ZA0312</t>
  </si>
  <si>
    <t>NIWARI</t>
  </si>
  <si>
    <t>MP02ZA0482</t>
  </si>
  <si>
    <t>Niwari</t>
  </si>
  <si>
    <t>MP02ZA0335</t>
  </si>
  <si>
    <t>Prithvipur</t>
  </si>
  <si>
    <t>MP02ZA0423</t>
  </si>
  <si>
    <t>PANNA</t>
  </si>
  <si>
    <t>MP02ZA0212</t>
  </si>
  <si>
    <t>Ajaygarh</t>
  </si>
  <si>
    <t>MP02ZA0334</t>
  </si>
  <si>
    <t>Gunnaor</t>
  </si>
  <si>
    <t>MP02ZA0378</t>
  </si>
  <si>
    <t>Panna</t>
  </si>
  <si>
    <t>MP02ZA0399</t>
  </si>
  <si>
    <t>Pawai</t>
  </si>
  <si>
    <t>MP02ZA0226</t>
  </si>
  <si>
    <t>Shahnagar</t>
  </si>
  <si>
    <t>MP02ZA0288</t>
  </si>
  <si>
    <t>MP02ZA0216</t>
  </si>
  <si>
    <t>MP02ZA0199</t>
  </si>
  <si>
    <t>Banda</t>
  </si>
  <si>
    <t>MP02ZA0146</t>
  </si>
  <si>
    <t>Bina</t>
  </si>
  <si>
    <t>MP02ZA0192</t>
  </si>
  <si>
    <t>Deori</t>
  </si>
  <si>
    <t>MP02ZA0140</t>
  </si>
  <si>
    <t>Jaisinagar</t>
  </si>
  <si>
    <t>MP02ZA0126</t>
  </si>
  <si>
    <t>Kesli</t>
  </si>
  <si>
    <t>MP02ZA0104</t>
  </si>
  <si>
    <t>Khurai</t>
  </si>
  <si>
    <t>MP02ZA0151</t>
  </si>
  <si>
    <t>Malthone</t>
  </si>
  <si>
    <t>MP02ZA0156</t>
  </si>
  <si>
    <t>Rahatgarh</t>
  </si>
  <si>
    <t>MP02ZA0159</t>
  </si>
  <si>
    <t>Rahli</t>
  </si>
  <si>
    <t>MP02ZA0125</t>
  </si>
  <si>
    <t>Sagar</t>
  </si>
  <si>
    <t>MP02ZA0139</t>
  </si>
  <si>
    <t>MP02ZA0142</t>
  </si>
  <si>
    <t>Shahgarh</t>
  </si>
  <si>
    <t>MP02ZA0186</t>
  </si>
  <si>
    <t>TIKAMGARH</t>
  </si>
  <si>
    <t>MP02ZA0349</t>
  </si>
  <si>
    <t>Baldeogrh</t>
  </si>
  <si>
    <t>MP02ZA0384</t>
  </si>
  <si>
    <t>Jatara</t>
  </si>
  <si>
    <t>MP02ZA0389</t>
  </si>
  <si>
    <t>Jatara-2</t>
  </si>
  <si>
    <t>MP02ZA0421</t>
  </si>
  <si>
    <t>Palera</t>
  </si>
  <si>
    <t>MP02ZA0340</t>
  </si>
  <si>
    <t>Tikamgarh</t>
  </si>
  <si>
    <t>MP02ZA0348</t>
  </si>
  <si>
    <t>UJJAIN</t>
  </si>
  <si>
    <t>AGARMALWA</t>
  </si>
  <si>
    <t>MP02ZA0462</t>
  </si>
  <si>
    <t>Aagar</t>
  </si>
  <si>
    <t>MP02ZA0344</t>
  </si>
  <si>
    <t>Barod</t>
  </si>
  <si>
    <t>MP02ZA0268</t>
  </si>
  <si>
    <t>NalKheda</t>
  </si>
  <si>
    <t>MP02ZA0307</t>
  </si>
  <si>
    <t>Susner</t>
  </si>
  <si>
    <t>MP02ZA0267</t>
  </si>
  <si>
    <t>DEWAS</t>
  </si>
  <si>
    <t>MP02ZA0298</t>
  </si>
  <si>
    <t>Bagali - 1</t>
  </si>
  <si>
    <t>MP02ZA0329</t>
  </si>
  <si>
    <t>Bagali - 2</t>
  </si>
  <si>
    <t>MP02ZA0237</t>
  </si>
  <si>
    <t>Dewas</t>
  </si>
  <si>
    <t>MP02ZA0263</t>
  </si>
  <si>
    <t>Kannod - 1</t>
  </si>
  <si>
    <t>MP02ZA0352</t>
  </si>
  <si>
    <t>Kannod - 2</t>
  </si>
  <si>
    <t>MP02ZA0588</t>
  </si>
  <si>
    <t>Khategaon</t>
  </si>
  <si>
    <t>MP02ZA0215</t>
  </si>
  <si>
    <t>Sonkatch</t>
  </si>
  <si>
    <t>MP02ZA0470</t>
  </si>
  <si>
    <t>Tonkkhurd</t>
  </si>
  <si>
    <t>MP02ZA0431</t>
  </si>
  <si>
    <t>MANDSAUR</t>
  </si>
  <si>
    <t>MP02ZA0331</t>
  </si>
  <si>
    <t>Bhanpura</t>
  </si>
  <si>
    <t>MP02ZA0231</t>
  </si>
  <si>
    <t>Garoth</t>
  </si>
  <si>
    <t>MP02ZA0249</t>
  </si>
  <si>
    <t>MP02ZA0364</t>
  </si>
  <si>
    <t>Malhargarh</t>
  </si>
  <si>
    <t>MP02ZA0429</t>
  </si>
  <si>
    <t>Mandsaur</t>
  </si>
  <si>
    <t>MP02ZA0392</t>
  </si>
  <si>
    <t>Sitamau</t>
  </si>
  <si>
    <t>MP02ZA0388</t>
  </si>
  <si>
    <t>NEEMUCH</t>
  </si>
  <si>
    <t>MP02ZA0523</t>
  </si>
  <si>
    <t>Jawad</t>
  </si>
  <si>
    <t>MP02ZA0430</t>
  </si>
  <si>
    <t>MP02ZA0415</t>
  </si>
  <si>
    <t>Manasa</t>
  </si>
  <si>
    <t>MP02ZA0550</t>
  </si>
  <si>
    <t>MP02ZA0556</t>
  </si>
  <si>
    <t>Neemuch</t>
  </si>
  <si>
    <t>MP02ZA0495</t>
  </si>
  <si>
    <t>RATLAM</t>
  </si>
  <si>
    <t>MP02ZA0239</t>
  </si>
  <si>
    <t>Alot</t>
  </si>
  <si>
    <t>MP02ZA0370</t>
  </si>
  <si>
    <t>Bajna</t>
  </si>
  <si>
    <t>MP02ZA0372</t>
  </si>
  <si>
    <t>Jaora</t>
  </si>
  <si>
    <t>MP02ZA0325</t>
  </si>
  <si>
    <t>Piploda</t>
  </si>
  <si>
    <t>MP02ZA0346</t>
  </si>
  <si>
    <t>Ratlam</t>
  </si>
  <si>
    <t>MP02ZA0337</t>
  </si>
  <si>
    <t>Sailana</t>
  </si>
  <si>
    <t>MP02ZA0281</t>
  </si>
  <si>
    <t>SHAHJAPUR</t>
  </si>
  <si>
    <t>MP02ZA0498</t>
  </si>
  <si>
    <t>Kalapipal</t>
  </si>
  <si>
    <t>MP02ZA0323</t>
  </si>
  <si>
    <t>Moman Badodiya</t>
  </si>
  <si>
    <t>MP02ZA0219</t>
  </si>
  <si>
    <t>Shajapur</t>
  </si>
  <si>
    <t>MP02ZA0292</t>
  </si>
  <si>
    <t>Shujalpur</t>
  </si>
  <si>
    <t>MP02ZA0380</t>
  </si>
  <si>
    <t>MP02ZA0302</t>
  </si>
  <si>
    <t>Badnagar</t>
  </si>
  <si>
    <t>MP02ZA0304</t>
  </si>
  <si>
    <t>Ghatiya</t>
  </si>
  <si>
    <t>MP02ZA0341</t>
  </si>
  <si>
    <t>Khachrod</t>
  </si>
  <si>
    <t>MP02ZA0228</t>
  </si>
  <si>
    <t>Mahidpur</t>
  </si>
  <si>
    <t>MP02ZA0391</t>
  </si>
  <si>
    <t>MP02ZA0397</t>
  </si>
  <si>
    <t>Tarana</t>
  </si>
  <si>
    <t>MP02ZA0265</t>
  </si>
  <si>
    <t>Ujjain</t>
  </si>
  <si>
    <t>MP02ZA0274</t>
  </si>
  <si>
    <t>STATE TOTAL</t>
  </si>
  <si>
    <t>Remark</t>
  </si>
  <si>
    <t>Case attend by other source</t>
  </si>
  <si>
    <t>Animal Death ( Before Arrival of MVU)</t>
  </si>
  <si>
    <t xml:space="preserve">Grand Total </t>
  </si>
  <si>
    <t xml:space="preserve">% of Off Road Vehicle </t>
  </si>
  <si>
    <t>MP02ZA0920</t>
  </si>
  <si>
    <t>SHAHNAGAR</t>
  </si>
  <si>
    <t>Narmadapuram</t>
  </si>
  <si>
    <t>KESLA</t>
  </si>
  <si>
    <t>HARRAI</t>
  </si>
  <si>
    <t>Basoda</t>
  </si>
  <si>
    <t>Monday</t>
  </si>
  <si>
    <t>Tuesday</t>
  </si>
  <si>
    <t>Wednesday</t>
  </si>
  <si>
    <t>Thursday</t>
  </si>
  <si>
    <t>Friday</t>
  </si>
  <si>
    <t>Saturday</t>
  </si>
  <si>
    <t>Sunday</t>
  </si>
  <si>
    <t xml:space="preserve">Monday </t>
  </si>
  <si>
    <t>friday</t>
  </si>
  <si>
    <t>tuesday</t>
  </si>
  <si>
    <t>Bhopal</t>
  </si>
  <si>
    <t>CAMP1338456</t>
  </si>
  <si>
    <t>CAMP1338453</t>
  </si>
  <si>
    <t>CAMP1338457</t>
  </si>
  <si>
    <t>CAMP1338461</t>
  </si>
  <si>
    <t>CAMP1338458</t>
  </si>
  <si>
    <t>CAMP1338454</t>
  </si>
  <si>
    <t>CAMP1338459</t>
  </si>
  <si>
    <t>CAMP1338462</t>
  </si>
  <si>
    <t>CAMP1338452</t>
  </si>
  <si>
    <t>CAMP1338460</t>
  </si>
  <si>
    <t>CAMP1338455</t>
  </si>
  <si>
    <t>CAMP1338471</t>
  </si>
  <si>
    <t>CAMP1338473</t>
  </si>
  <si>
    <t>CAMP1338472</t>
  </si>
  <si>
    <t>CAMP1338557</t>
  </si>
  <si>
    <t>CAMP1338558</t>
  </si>
  <si>
    <t>CAMP1338559</t>
  </si>
  <si>
    <t>CAMP1338560</t>
  </si>
  <si>
    <t>CAMP1338562</t>
  </si>
  <si>
    <t>CAMP1338563</t>
  </si>
  <si>
    <t>CAMP1338566</t>
  </si>
  <si>
    <t>CAMP1338561</t>
  </si>
  <si>
    <t>CAMP1338567</t>
  </si>
  <si>
    <t>CAMP1338565</t>
  </si>
  <si>
    <t>CAMP1338568</t>
  </si>
  <si>
    <t>CAMP1338564</t>
  </si>
  <si>
    <t>CAMP1338676</t>
  </si>
  <si>
    <t>CAMP1338681</t>
  </si>
  <si>
    <t>CAMP1338679</t>
  </si>
  <si>
    <t>CAMP1338678</t>
  </si>
  <si>
    <t>CAMP1338682</t>
  </si>
  <si>
    <t>CAMP1338677</t>
  </si>
  <si>
    <t>CAMP1338680</t>
  </si>
  <si>
    <t>CAMP1338675</t>
  </si>
  <si>
    <t>CAMP1338685</t>
  </si>
  <si>
    <t>CAMP1338688</t>
  </si>
  <si>
    <t>CAMP1338691</t>
  </si>
  <si>
    <t>CAMP1338689</t>
  </si>
  <si>
    <t>CAMP1338687</t>
  </si>
  <si>
    <t>CAMP1338721</t>
  </si>
  <si>
    <t>CAMP1338684</t>
  </si>
  <si>
    <t>CAMP1338683</t>
  </si>
  <si>
    <t>CAMP1338690</t>
  </si>
  <si>
    <t>CAMP1338726</t>
  </si>
  <si>
    <t>CAMP1338729</t>
  </si>
  <si>
    <t>CAMP1338730</t>
  </si>
  <si>
    <t>CAMP1338733</t>
  </si>
  <si>
    <t>CAMP1338731</t>
  </si>
  <si>
    <t>CAMP1338732</t>
  </si>
  <si>
    <t>CAMP1338728</t>
  </si>
  <si>
    <t>CAMP1338727</t>
  </si>
  <si>
    <t>CAMP1338805</t>
  </si>
  <si>
    <t>CAMP1338812</t>
  </si>
  <si>
    <t>CAMP1338808</t>
  </si>
  <si>
    <t>CAMP1338809</t>
  </si>
  <si>
    <t>CAMP1338810</t>
  </si>
  <si>
    <t>CAMP1338807</t>
  </si>
  <si>
    <t>CAMP1338811</t>
  </si>
  <si>
    <t>CAMP1338806</t>
  </si>
  <si>
    <t>CAMP1338427</t>
  </si>
  <si>
    <t>CAMP1338428</t>
  </si>
  <si>
    <t>CAMP1338429</t>
  </si>
  <si>
    <t>CAMP1338430</t>
  </si>
  <si>
    <t>CAMP1338431</t>
  </si>
  <si>
    <t>CAMP1338465</t>
  </si>
  <si>
    <t>CAMP1338464</t>
  </si>
  <si>
    <t>CAMP1338466</t>
  </si>
  <si>
    <t>CAMP1338467</t>
  </si>
  <si>
    <t>CAMP1338468</t>
  </si>
  <si>
    <t>CAMP1338470</t>
  </si>
  <si>
    <t>CAMP1338469</t>
  </si>
  <si>
    <t>CAMP1338508</t>
  </si>
  <si>
    <t>CAMP1338511</t>
  </si>
  <si>
    <t>CAMP1338548</t>
  </si>
  <si>
    <t>CAMP1338543</t>
  </si>
  <si>
    <t>CAMP1338545</t>
  </si>
  <si>
    <t>CAMP1338546</t>
  </si>
  <si>
    <t>CAMP1338547</t>
  </si>
  <si>
    <t>CAMP1338544</t>
  </si>
  <si>
    <t>CAMP1338549</t>
  </si>
  <si>
    <t>CAMP1338550</t>
  </si>
  <si>
    <t>CAMP1338552</t>
  </si>
  <si>
    <t>CAMP1338556</t>
  </si>
  <si>
    <t>CAMP1338554</t>
  </si>
  <si>
    <t>CAMP1338555</t>
  </si>
  <si>
    <t>CAMP1338553</t>
  </si>
  <si>
    <t>CAMP1338551</t>
  </si>
  <si>
    <t>CAMP1338645</t>
  </si>
  <si>
    <t>CAMP1338647</t>
  </si>
  <si>
    <t>CAMP1338648</t>
  </si>
  <si>
    <t>CAMP1338644</t>
  </si>
  <si>
    <t>CAMP1338643</t>
  </si>
  <si>
    <t>CAMP1338650</t>
  </si>
  <si>
    <t>CAMP1338646</t>
  </si>
  <si>
    <t>CAMP1338651</t>
  </si>
  <si>
    <t>CAMP1338764</t>
  </si>
  <si>
    <t>CAMP1338770</t>
  </si>
  <si>
    <t>CAMP1338765</t>
  </si>
  <si>
    <t>CAMP1338769</t>
  </si>
  <si>
    <t>CAMP1338767</t>
  </si>
  <si>
    <t>CAMP1338755</t>
  </si>
  <si>
    <t>CAMP1338759</t>
  </si>
  <si>
    <t>CAMP1338762</t>
  </si>
  <si>
    <t>CAMP1338758</t>
  </si>
  <si>
    <t>CAMP1338760</t>
  </si>
  <si>
    <t>CAMP1338763</t>
  </si>
  <si>
    <t>CAMP1338757</t>
  </si>
  <si>
    <t>CAMP1338761</t>
  </si>
  <si>
    <t>CAMP1338416</t>
  </si>
  <si>
    <t>CAMP1339245</t>
  </si>
  <si>
    <t>CAMP1338420</t>
  </si>
  <si>
    <t>CAMP1338414</t>
  </si>
  <si>
    <t>CAMP1338413</t>
  </si>
  <si>
    <t>CAMP1338415</t>
  </si>
  <si>
    <t>CAMP1338419</t>
  </si>
  <si>
    <t>CAMP1338412</t>
  </si>
  <si>
    <t>CAMP1338444</t>
  </si>
  <si>
    <t>CAMP1338443</t>
  </si>
  <si>
    <t>CAMP1338450</t>
  </si>
  <si>
    <t>CAMP1338448</t>
  </si>
  <si>
    <t>CAMP1338449</t>
  </si>
  <si>
    <t>CAMP1338446</t>
  </si>
  <si>
    <t>CAMP1338445</t>
  </si>
  <si>
    <t>CAMP1338447</t>
  </si>
  <si>
    <t>CAMP1338474</t>
  </si>
  <si>
    <t>CAMP1338475</t>
  </si>
  <si>
    <t>CAMP1338476</t>
  </si>
  <si>
    <t>CAMP1338477</t>
  </si>
  <si>
    <t>CAMP1338522</t>
  </si>
  <si>
    <t>CAMP1338534</t>
  </si>
  <si>
    <t>CAMP1338526</t>
  </si>
  <si>
    <t>CAMP1338529</t>
  </si>
  <si>
    <t>CAMP1338521</t>
  </si>
  <si>
    <t>CAMP1338532</t>
  </si>
  <si>
    <t>CAMP1338527</t>
  </si>
  <si>
    <t>CAMP1338530</t>
  </si>
  <si>
    <t>CAMP1338523</t>
  </si>
  <si>
    <t>CAMP1338528</t>
  </si>
  <si>
    <t>CAMP1338525</t>
  </si>
  <si>
    <t>CAMP1338524</t>
  </si>
  <si>
    <t>CAMP1338531</t>
  </si>
  <si>
    <t>CAMP1338569</t>
  </si>
  <si>
    <t>CAMP1338572</t>
  </si>
  <si>
    <t>CAMP1338571</t>
  </si>
  <si>
    <t>CAMP1338573</t>
  </si>
  <si>
    <t>CAMP1338582</t>
  </si>
  <si>
    <t>CAMP1338583</t>
  </si>
  <si>
    <t>CAMP1338585</t>
  </si>
  <si>
    <t>CAMP1338588</t>
  </si>
  <si>
    <t>CAMP1338589</t>
  </si>
  <si>
    <t>CAMP1338584</t>
  </si>
  <si>
    <t>CAMP1339246</t>
  </si>
  <si>
    <t>CAMP1338587</t>
  </si>
  <si>
    <t>CAMP1338597</t>
  </si>
  <si>
    <t>CAMP1338599</t>
  </si>
  <si>
    <t>CAMP1338602</t>
  </si>
  <si>
    <t>CAMP1338603</t>
  </si>
  <si>
    <t>CAMP1338598</t>
  </si>
  <si>
    <t>CAMP1338604</t>
  </si>
  <si>
    <t>CAMP1338600</t>
  </si>
  <si>
    <t>CAMP1338601</t>
  </si>
  <si>
    <t>CAMP1338609</t>
  </si>
  <si>
    <t>CAMP1338605</t>
  </si>
  <si>
    <t>CAMP1338606</t>
  </si>
  <si>
    <t>CAMP1338608</t>
  </si>
  <si>
    <t>CAMP1338610</t>
  </si>
  <si>
    <t>CAMP1338611</t>
  </si>
  <si>
    <t>CAMP1338612</t>
  </si>
  <si>
    <t>CAMP1338614</t>
  </si>
  <si>
    <t>CAMP1338615</t>
  </si>
  <si>
    <t>CAMP1338616</t>
  </si>
  <si>
    <t>CAMP1338613</t>
  </si>
  <si>
    <t>CAMP1338432</t>
  </si>
  <si>
    <t>CAMP1338434</t>
  </si>
  <si>
    <t>CAMP1338433</t>
  </si>
  <si>
    <t>CAMP1338435</t>
  </si>
  <si>
    <t>CAMP1338436</t>
  </si>
  <si>
    <t>CAMP1338437</t>
  </si>
  <si>
    <t>CAMP1338438</t>
  </si>
  <si>
    <t>CAMP1338439</t>
  </si>
  <si>
    <t>CAMP1338440</t>
  </si>
  <si>
    <t>CAMP1338441</t>
  </si>
  <si>
    <t>CAMP1338442</t>
  </si>
  <si>
    <t>CAMP1338488</t>
  </si>
  <si>
    <t>CAMP1338489</t>
  </si>
  <si>
    <t>CAMP1338490</t>
  </si>
  <si>
    <t>CAMP1338499</t>
  </si>
  <si>
    <t>CAMP1338491</t>
  </si>
  <si>
    <t>CAMP1338492</t>
  </si>
  <si>
    <t>CAMP1338493</t>
  </si>
  <si>
    <t>CAMP1338494</t>
  </si>
  <si>
    <t>CAMP1338495</t>
  </si>
  <si>
    <t>CAMP1338496</t>
  </si>
  <si>
    <t>CAMP1338782</t>
  </si>
  <si>
    <t>CAMP1338536</t>
  </si>
  <si>
    <t>CAMP1338537</t>
  </si>
  <si>
    <t>CAMP1338539</t>
  </si>
  <si>
    <t>CAMP1338540</t>
  </si>
  <si>
    <t>CAMP1338541</t>
  </si>
  <si>
    <t>CAMP1338542</t>
  </si>
  <si>
    <t>CAMP1338574</t>
  </si>
  <si>
    <t>CAMP1338575</t>
  </si>
  <si>
    <t>CAMP1338580</t>
  </si>
  <si>
    <t>CAMP1338579</t>
  </si>
  <si>
    <t>CAMP1338576</t>
  </si>
  <si>
    <t>CAMP1338577</t>
  </si>
  <si>
    <t>CAMP1338578</t>
  </si>
  <si>
    <t>CAMP1338581</t>
  </si>
  <si>
    <t>CAMP1338593</t>
  </si>
  <si>
    <t>CAMP1338591</t>
  </si>
  <si>
    <t>CAMP1338590</t>
  </si>
  <si>
    <t>CAMP1338596</t>
  </si>
  <si>
    <t>CAMP1338594</t>
  </si>
  <si>
    <t>CAMP1338595</t>
  </si>
  <si>
    <t>CAMP1338592</t>
  </si>
  <si>
    <t>CAMP1338630</t>
  </si>
  <si>
    <t>CAMP1338621</t>
  </si>
  <si>
    <t>CAMP1338623</t>
  </si>
  <si>
    <t>CAMP1338624</t>
  </si>
  <si>
    <t>CAMP1338622</t>
  </si>
  <si>
    <t>CAMP1338625</t>
  </si>
  <si>
    <t>CAMP1338626</t>
  </si>
  <si>
    <t>CAMP1338627</t>
  </si>
  <si>
    <t>CAMP1338628</t>
  </si>
  <si>
    <t>CAMP1338629</t>
  </si>
  <si>
    <t>CAMP1338652</t>
  </si>
  <si>
    <t>CAMP1338656</t>
  </si>
  <si>
    <t>CAMP1338658</t>
  </si>
  <si>
    <t>CAMP1338654</t>
  </si>
  <si>
    <t>CAMP1338655</t>
  </si>
  <si>
    <t>CAMP1338653</t>
  </si>
  <si>
    <t>CAMP1338657</t>
  </si>
  <si>
    <t>CAMP1338734</t>
  </si>
  <si>
    <t>CAMP1338736</t>
  </si>
  <si>
    <t>CAMP1338737</t>
  </si>
  <si>
    <t>CAMP1338739</t>
  </si>
  <si>
    <t>CAMP1338740</t>
  </si>
  <si>
    <t>CAMP1338738</t>
  </si>
  <si>
    <t>CAMP1338741</t>
  </si>
  <si>
    <t>CAMP1338742</t>
  </si>
  <si>
    <t>CAMP1338735</t>
  </si>
  <si>
    <t>CAMP1338422</t>
  </si>
  <si>
    <t>CAMP1338423</t>
  </si>
  <si>
    <t>CAMP1338424</t>
  </si>
  <si>
    <t>CAMP1338425</t>
  </si>
  <si>
    <t>CAMP1338426</t>
  </si>
  <si>
    <t>CAMP1338705</t>
  </si>
  <si>
    <t>CAMP1338699</t>
  </si>
  <si>
    <t>CAMP1338700</t>
  </si>
  <si>
    <t>CAMP1338703</t>
  </si>
  <si>
    <t>CAMP1338704</t>
  </si>
  <si>
    <t>CAMP1338702</t>
  </si>
  <si>
    <t>CAMP1338701</t>
  </si>
  <si>
    <t>CAMP1338642</t>
  </si>
  <si>
    <t>CAMP1338639</t>
  </si>
  <si>
    <t>CAMP1338640</t>
  </si>
  <si>
    <t>CAMP1338719</t>
  </si>
  <si>
    <t>CAMP1338723</t>
  </si>
  <si>
    <t>CAMP1338722</t>
  </si>
  <si>
    <t>CAMP1338725</t>
  </si>
  <si>
    <t>CAMP1338686</t>
  </si>
  <si>
    <t>CAMP1338720</t>
  </si>
  <si>
    <t>CAMP1338724</t>
  </si>
  <si>
    <t>CAMP1338620</t>
  </si>
  <si>
    <t>CAMP1338617</t>
  </si>
  <si>
    <t>CAMP1338618</t>
  </si>
  <si>
    <t>CAMP1338619</t>
  </si>
  <si>
    <t>CAMP1338743</t>
  </si>
  <si>
    <t>CAMP1338745</t>
  </si>
  <si>
    <t>CAMP1338744</t>
  </si>
  <si>
    <t>CAMP1338746</t>
  </si>
  <si>
    <t>CAMP1338747</t>
  </si>
  <si>
    <t>CAMP1338748</t>
  </si>
  <si>
    <t>CAMP1338773</t>
  </si>
  <si>
    <t>CAMP1338775</t>
  </si>
  <si>
    <t>CAMP1338776</t>
  </si>
  <si>
    <t>CAMP1338777</t>
  </si>
  <si>
    <t>CAMP1338771</t>
  </si>
  <si>
    <t>CAMP1338772</t>
  </si>
  <si>
    <t>CAMP1338774</t>
  </si>
  <si>
    <t>CAMP1338778</t>
  </si>
  <si>
    <t>CAMP1338779</t>
  </si>
  <si>
    <t>CAMP1338780</t>
  </si>
  <si>
    <t>CAMP1338784</t>
  </si>
  <si>
    <t>CAMP1338783</t>
  </si>
  <si>
    <t>CAMP1338538</t>
  </si>
  <si>
    <t>CAMP1338804</t>
  </si>
  <si>
    <t>CAMP1338799</t>
  </si>
  <si>
    <t>CAMP1338800</t>
  </si>
  <si>
    <t>CAMP1338803</t>
  </si>
  <si>
    <t>CAMP1338801</t>
  </si>
  <si>
    <t>CAMP1338802</t>
  </si>
  <si>
    <t>CAMP1338484</t>
  </si>
  <si>
    <t>CAMP1338482</t>
  </si>
  <si>
    <t>CAMP1338487</t>
  </si>
  <si>
    <t>CAMP1338479</t>
  </si>
  <si>
    <t>CAMP1338486</t>
  </si>
  <si>
    <t>CAMP1338478</t>
  </si>
  <si>
    <t>CAMP1338483</t>
  </si>
  <si>
    <t>CAMP1338480</t>
  </si>
  <si>
    <t>CAMP1338485</t>
  </si>
  <si>
    <t>CAMP1338481</t>
  </si>
  <si>
    <t>CAMP1338502</t>
  </si>
  <si>
    <t>CAMP1338500</t>
  </si>
  <si>
    <t>CAMP1338501</t>
  </si>
  <si>
    <t>CAMP1338503</t>
  </si>
  <si>
    <t>CAMP1338505</t>
  </si>
  <si>
    <t>CAMP1338507</t>
  </si>
  <si>
    <t>CAMP1338506</t>
  </si>
  <si>
    <t>CAMP1338665</t>
  </si>
  <si>
    <t>CAMP1338666</t>
  </si>
  <si>
    <t>CAMP1338667</t>
  </si>
  <si>
    <t>CAMP1338668</t>
  </si>
  <si>
    <t>CAMP1338669</t>
  </si>
  <si>
    <t>CAMP1338670</t>
  </si>
  <si>
    <t>CAMP1338671</t>
  </si>
  <si>
    <t>CAMP1338672</t>
  </si>
  <si>
    <t>CAMP1338674</t>
  </si>
  <si>
    <t>CAMP1338673</t>
  </si>
  <si>
    <t>CAMP1338716</t>
  </si>
  <si>
    <t>CAMP1338707</t>
  </si>
  <si>
    <t>CAMP1338706</t>
  </si>
  <si>
    <t>CAMP1338715</t>
  </si>
  <si>
    <t>CAMP1338713</t>
  </si>
  <si>
    <t>CAMP1338714</t>
  </si>
  <si>
    <t>CAMP1338710</t>
  </si>
  <si>
    <t>CAMP1338709</t>
  </si>
  <si>
    <t>CAMP1338711</t>
  </si>
  <si>
    <t>CAMP1338712</t>
  </si>
  <si>
    <t>CAMP1338717</t>
  </si>
  <si>
    <t>CAMP1338718</t>
  </si>
  <si>
    <t>CAMP1338708</t>
  </si>
  <si>
    <t>CAMP1338785</t>
  </si>
  <si>
    <t>CAMP1338790</t>
  </si>
  <si>
    <t>CAMP1338787</t>
  </si>
  <si>
    <t>CAMP1338788</t>
  </si>
  <si>
    <t>CAMP1338789</t>
  </si>
  <si>
    <t>CAMP1338786</t>
  </si>
  <si>
    <t>CAMP1338411</t>
  </si>
  <si>
    <t>CAMP1338407</t>
  </si>
  <si>
    <t>CAMP1338408</t>
  </si>
  <si>
    <t>CAMP1338410</t>
  </si>
  <si>
    <t>CAMP1338409</t>
  </si>
  <si>
    <t>CAMP1338519</t>
  </si>
  <si>
    <t>CAMP1338514</t>
  </si>
  <si>
    <t>CAMP1338520</t>
  </si>
  <si>
    <t>CAMP1338512</t>
  </si>
  <si>
    <t>CAMP1338513</t>
  </si>
  <si>
    <t>CAMP1338516</t>
  </si>
  <si>
    <t>CAMP1338518</t>
  </si>
  <si>
    <t>CAMP1338517</t>
  </si>
  <si>
    <t>CAMP1338631</t>
  </si>
  <si>
    <t>CAMP1338638</t>
  </si>
  <si>
    <t>CAMP1338637</t>
  </si>
  <si>
    <t>CAMP1338636</t>
  </si>
  <si>
    <t>CAMP1338633</t>
  </si>
  <si>
    <t>CAMP1338632</t>
  </si>
  <si>
    <t>CAMP1338634</t>
  </si>
  <si>
    <t>CAMP1338635</t>
  </si>
  <si>
    <t>CAMP1338659</t>
  </si>
  <si>
    <t>CAMP1338661</t>
  </si>
  <si>
    <t>CAMP1338662</t>
  </si>
  <si>
    <t>CAMP1338663</t>
  </si>
  <si>
    <t>CAMP1338664</t>
  </si>
  <si>
    <t>CAMP1338660</t>
  </si>
  <si>
    <t>CAMP1338692</t>
  </si>
  <si>
    <t>CAMP1338697</t>
  </si>
  <si>
    <t>CAMP1338698</t>
  </si>
  <si>
    <t>CAMP1338694</t>
  </si>
  <si>
    <t>CAMP1338696</t>
  </si>
  <si>
    <t>CAMP1338695</t>
  </si>
  <si>
    <t>CAMP1338693</t>
  </si>
  <si>
    <t>CAMP1338750</t>
  </si>
  <si>
    <t>CAMP1338754</t>
  </si>
  <si>
    <t>CAMP1338752</t>
  </si>
  <si>
    <t>CAMP1338751</t>
  </si>
  <si>
    <t>CAMP1338753</t>
  </si>
  <si>
    <t>CAMP1338793</t>
  </si>
  <si>
    <t>CAMP1338794</t>
  </si>
  <si>
    <t>CAMP1338795</t>
  </si>
  <si>
    <t>CAMP1338791</t>
  </si>
  <si>
    <t>CAMP1338796</t>
  </si>
  <si>
    <t>CAMP1338798</t>
  </si>
  <si>
    <t>CAMP1338797</t>
  </si>
  <si>
    <t>CAMP1338792</t>
  </si>
  <si>
    <t>CAMP1339267</t>
  </si>
  <si>
    <t>CAMP1339272</t>
  </si>
  <si>
    <t>CAMP1339277</t>
  </si>
  <si>
    <t>CAMP1339281</t>
  </si>
  <si>
    <t>CAMP1339286</t>
  </si>
  <si>
    <t>CAMP1339290</t>
  </si>
  <si>
    <t>CAMP1339302</t>
  </si>
  <si>
    <t>CAMP1339312</t>
  </si>
  <si>
    <t>CAMP1339314</t>
  </si>
  <si>
    <t>CAMP1339325</t>
  </si>
  <si>
    <t>CAMP1339329</t>
  </si>
  <si>
    <t>CAMP1339332</t>
  </si>
  <si>
    <t>Pansemal</t>
  </si>
  <si>
    <t>CAMP1339357</t>
  </si>
  <si>
    <t>CAMP1339358</t>
  </si>
  <si>
    <t>CAMP1339360</t>
  </si>
  <si>
    <t>CAMP1339362</t>
  </si>
  <si>
    <t>CAMP1339366</t>
  </si>
  <si>
    <t>CAMP1338463</t>
  </si>
  <si>
    <t>CAMP1339387</t>
  </si>
  <si>
    <t>CAMP1333403</t>
  </si>
  <si>
    <t>CAMP1339409</t>
  </si>
  <si>
    <t>Case Received on 01-September'2026</t>
  </si>
  <si>
    <t>Case Attend By MVU 01-September'2026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</si>
</sst>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indexed="9"/>
      <name val="Calibri"/>
      <family val="2"/>
    </font>
    <font>
      <b/>
      <sz val="12"/>
      <color indexed="9"/>
      <name val="Calibri"/>
      <family val="2"/>
    </font>
    <font>
      <b/>
      <sz val="11"/>
      <color indexed="9"/>
      <name val="Calibri"/>
      <family val="2"/>
    </font>
    <font>
      <sz val="2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Arial Unicode MS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450666829432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4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top"/>
    </xf>
    <xf numFmtId="0" fontId="9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top" wrapText="1"/>
    </xf>
    <xf numFmtId="0" fontId="7" fillId="2" borderId="1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center" vertical="center"/>
    </xf>
    <xf numFmtId="9" fontId="0" fillId="2" borderId="1" xfId="0" applyNumberFormat="1" applyFill="1" applyBorder="1" applyAlignment="1">
      <alignment horizontal="center" vertical="center"/>
    </xf>
    <xf numFmtId="0" fontId="10" fillId="0" borderId="4" xfId="0" applyFont="1" applyBorder="1" applyAlignment="1">
      <alignment horizontal="center"/>
    </xf>
    <xf numFmtId="0" fontId="0" fillId="0" borderId="0" xfId="0" applyAlignment="1">
      <alignment horizontal="left"/>
    </xf>
    <xf numFmtId="0" fontId="10" fillId="0" borderId="4" xfId="0" applyFont="1" applyBorder="1"/>
    <xf numFmtId="14" fontId="13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1" xfId="0" applyNumberFormat="1" applyBorder="1" applyAlignment="1">
      <alignment horizontal="center" vertical="center"/>
    </xf>
    <xf numFmtId="9" fontId="0" fillId="2" borderId="1" xfId="0" applyNumberForma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top"/>
    </xf>
    <xf numFmtId="0" fontId="8" fillId="2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EH470"/>
  <sheetViews>
    <sheetView showGridLines="0" tabSelected="1" topLeftCell="C1" zoomScale="85" zoomScaleNormal="85" workbookViewId="0">
      <selection activeCell="I10" sqref="I10"/>
    </sheetView>
  </sheetViews>
  <sheetFormatPr defaultRowHeight="14.4"/>
  <cols>
    <col min="1" max="1" width="13.33203125" hidden="1" customWidth="1"/>
    <col min="2" max="2" width="10.77734375" hidden="1" customWidth="1"/>
    <col min="3" max="3" width="7.44140625" style="26" bestFit="1" customWidth="1"/>
    <col min="4" max="4" width="19.5546875" style="26" bestFit="1" customWidth="1"/>
    <col min="5" max="5" width="15.44140625" style="26" customWidth="1"/>
    <col min="6" max="6" width="18.44140625" style="26" customWidth="1"/>
    <col min="7" max="7" width="13.33203125" style="26" bestFit="1" customWidth="1"/>
    <col min="8" max="8" width="12.109375" style="26" customWidth="1"/>
    <col min="9" max="9" width="12.44140625" style="26" customWidth="1"/>
    <col min="10" max="10" width="10.6640625" style="26" customWidth="1"/>
    <col min="11" max="11" width="13.5546875" style="26" customWidth="1"/>
    <col min="12" max="12" width="13.88671875" style="26" customWidth="1"/>
    <col min="13" max="13" width="21.6640625" style="26" customWidth="1"/>
    <col min="14" max="14" width="8.88671875" style="26" customWidth="1"/>
    <col min="16361" max="16362" width="0" hidden="1" customWidth="1"/>
  </cols>
  <sheetData>
    <row r="1" spans="1:14 16361:16362" ht="18">
      <c r="A1" s="20"/>
      <c r="B1" s="20"/>
      <c r="C1" s="29" t="s">
        <v>0</v>
      </c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</row>
    <row r="2" spans="1:14 16361:16362" ht="89.4" customHeight="1">
      <c r="A2" s="1" t="s">
        <v>1</v>
      </c>
      <c r="B2" s="1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3" t="s">
        <v>7</v>
      </c>
      <c r="H2" s="3" t="s">
        <v>1215</v>
      </c>
      <c r="I2" s="3" t="s">
        <v>1216</v>
      </c>
      <c r="J2" s="3" t="s">
        <v>787</v>
      </c>
      <c r="K2" s="3" t="s">
        <v>788</v>
      </c>
      <c r="L2" s="3" t="s">
        <v>789</v>
      </c>
      <c r="M2" s="3" t="s">
        <v>786</v>
      </c>
      <c r="N2" s="3" t="s">
        <v>790</v>
      </c>
      <c r="XEG2" s="3" t="str">
        <f ca="1">"Case Received on "&amp;TEXT(NOW()-1,"dd-mmmm'yyyy")</f>
        <v>Case Received on 01-September'2026</v>
      </c>
      <c r="XEH2" s="3" t="str">
        <f ca="1">"Case Attend By MVU "&amp;TEXT(NOW()-1,"dd-mmmm'yyyy")</f>
        <v>Case Attend By MVU 01-September'2026</v>
      </c>
    </row>
    <row r="3" spans="1:14 16361:16362">
      <c r="A3" s="4" t="s">
        <v>808</v>
      </c>
      <c r="B3" s="4" t="s">
        <v>798</v>
      </c>
      <c r="C3" s="5">
        <v>1</v>
      </c>
      <c r="D3" s="36" t="s">
        <v>807</v>
      </c>
      <c r="E3" s="32" t="s">
        <v>9</v>
      </c>
      <c r="F3" s="4" t="s">
        <v>10</v>
      </c>
      <c r="G3" s="4" t="s">
        <v>11</v>
      </c>
      <c r="H3" s="4">
        <v>4</v>
      </c>
      <c r="I3" s="4">
        <v>0</v>
      </c>
      <c r="J3" s="4">
        <v>0</v>
      </c>
      <c r="K3" s="4">
        <v>0</v>
      </c>
      <c r="L3" s="15">
        <f t="shared" ref="L3:L13" si="0">I3+J3+K3</f>
        <v>0</v>
      </c>
      <c r="M3" s="25" t="str">
        <f>IFERROR(IF(TEXT(DATEVALUE(SUBSTITUTE(TRIM(MID($H$2,FIND("on",$H$2)+3,99)),"'","-")),"dddd")=B3,"Week Off",IF(H3="","",IF($H3=0,"Case Not Received",""))),"")</f>
        <v>Week Off</v>
      </c>
      <c r="N3" s="27">
        <f>(COUNTIF(I3:I13,"0"))/11</f>
        <v>0.27272727272727271</v>
      </c>
    </row>
    <row r="4" spans="1:14 16361:16362">
      <c r="A4" s="4" t="s">
        <v>809</v>
      </c>
      <c r="B4" s="4" t="s">
        <v>799</v>
      </c>
      <c r="C4" s="5">
        <f>+C3+1</f>
        <v>2</v>
      </c>
      <c r="D4" s="36"/>
      <c r="E4" s="32"/>
      <c r="F4" s="4" t="s">
        <v>12</v>
      </c>
      <c r="G4" s="4" t="s">
        <v>13</v>
      </c>
      <c r="H4" s="4">
        <v>15</v>
      </c>
      <c r="I4" s="4">
        <v>12</v>
      </c>
      <c r="J4" s="4">
        <v>0</v>
      </c>
      <c r="K4" s="4">
        <v>0</v>
      </c>
      <c r="L4" s="15">
        <f t="shared" si="0"/>
        <v>12</v>
      </c>
      <c r="M4" s="25" t="str">
        <f t="shared" ref="M4:M13" si="1">IFERROR(IF(TEXT(DATEVALUE(SUBSTITUTE(TRIM(MID($H$2,FIND("on",$H$2)+3,99)),"'","-")),"dddd")=B4,"Week Off",IF(H4="","",IF($H4=0,"Case Not Received",""))),"")</f>
        <v/>
      </c>
      <c r="N4" s="27"/>
    </row>
    <row r="5" spans="1:14 16361:16362">
      <c r="A5" s="4" t="s">
        <v>810</v>
      </c>
      <c r="B5" s="4" t="s">
        <v>800</v>
      </c>
      <c r="C5" s="5">
        <f>C3+C4</f>
        <v>3</v>
      </c>
      <c r="D5" s="36"/>
      <c r="E5" s="32"/>
      <c r="F5" s="4" t="s">
        <v>14</v>
      </c>
      <c r="G5" s="4" t="s">
        <v>15</v>
      </c>
      <c r="H5" s="4">
        <v>3</v>
      </c>
      <c r="I5" s="4">
        <v>0</v>
      </c>
      <c r="J5" s="4">
        <v>0</v>
      </c>
      <c r="K5" s="4">
        <v>0</v>
      </c>
      <c r="L5" s="15">
        <f t="shared" si="0"/>
        <v>0</v>
      </c>
      <c r="M5" s="25" t="str">
        <f t="shared" si="1"/>
        <v/>
      </c>
      <c r="N5" s="27"/>
    </row>
    <row r="6" spans="1:14 16361:16362">
      <c r="A6" s="4" t="s">
        <v>811</v>
      </c>
      <c r="B6" s="4" t="s">
        <v>797</v>
      </c>
      <c r="C6" s="5">
        <f>C5+1</f>
        <v>4</v>
      </c>
      <c r="D6" s="36"/>
      <c r="E6" s="32"/>
      <c r="F6" s="4" t="s">
        <v>16</v>
      </c>
      <c r="G6" s="4" t="s">
        <v>17</v>
      </c>
      <c r="H6" s="4">
        <v>10</v>
      </c>
      <c r="I6" s="4">
        <v>6</v>
      </c>
      <c r="J6" s="4">
        <v>0</v>
      </c>
      <c r="K6" s="4">
        <v>0</v>
      </c>
      <c r="L6" s="15">
        <f t="shared" si="0"/>
        <v>6</v>
      </c>
      <c r="M6" s="25" t="str">
        <f>IFERROR(IF(TEXT(DATEVALUE(SUBSTITUTE(TRIM(MID($H$2,FIND("on",$H$2)+3,99)),"'","-")),"dddd")=B6,"Week Off",IF(H6="","",IF($H6=0,"Case Not Received",""))),"")</f>
        <v/>
      </c>
      <c r="N6" s="27"/>
    </row>
    <row r="7" spans="1:14 16361:16362">
      <c r="A7" s="4" t="s">
        <v>812</v>
      </c>
      <c r="B7" s="4" t="s">
        <v>801</v>
      </c>
      <c r="C7" s="5">
        <f t="shared" ref="C7:C27" si="2">C6+1</f>
        <v>5</v>
      </c>
      <c r="D7" s="36"/>
      <c r="E7" s="32"/>
      <c r="F7" s="4" t="s">
        <v>18</v>
      </c>
      <c r="G7" s="4" t="s">
        <v>19</v>
      </c>
      <c r="H7" s="4">
        <v>13</v>
      </c>
      <c r="I7" s="4">
        <v>8</v>
      </c>
      <c r="J7" s="4">
        <v>0</v>
      </c>
      <c r="K7" s="4">
        <v>0</v>
      </c>
      <c r="L7" s="15">
        <f t="shared" si="0"/>
        <v>8</v>
      </c>
      <c r="M7" s="25" t="str">
        <f t="shared" si="1"/>
        <v/>
      </c>
      <c r="N7" s="27"/>
    </row>
    <row r="8" spans="1:14 16361:16362">
      <c r="A8" s="4" t="s">
        <v>813</v>
      </c>
      <c r="B8" s="4" t="s">
        <v>802</v>
      </c>
      <c r="C8" s="5">
        <f t="shared" si="2"/>
        <v>6</v>
      </c>
      <c r="D8" s="36"/>
      <c r="E8" s="32"/>
      <c r="F8" s="4" t="s">
        <v>20</v>
      </c>
      <c r="G8" s="4" t="s">
        <v>21</v>
      </c>
      <c r="H8" s="4">
        <v>10</v>
      </c>
      <c r="I8" s="4">
        <v>8</v>
      </c>
      <c r="J8" s="4">
        <v>0</v>
      </c>
      <c r="K8" s="4">
        <v>0</v>
      </c>
      <c r="L8" s="15">
        <f t="shared" si="0"/>
        <v>8</v>
      </c>
      <c r="M8" s="25" t="str">
        <f t="shared" si="1"/>
        <v/>
      </c>
      <c r="N8" s="27"/>
    </row>
    <row r="9" spans="1:14 16361:16362">
      <c r="A9" s="4" t="s">
        <v>814</v>
      </c>
      <c r="B9" s="4" t="s">
        <v>797</v>
      </c>
      <c r="C9" s="5">
        <f t="shared" si="2"/>
        <v>7</v>
      </c>
      <c r="D9" s="36"/>
      <c r="E9" s="32"/>
      <c r="F9" s="4" t="s">
        <v>22</v>
      </c>
      <c r="G9" s="4" t="s">
        <v>23</v>
      </c>
      <c r="H9" s="4">
        <v>3</v>
      </c>
      <c r="I9" s="4">
        <v>3</v>
      </c>
      <c r="J9" s="4">
        <v>0</v>
      </c>
      <c r="K9" s="4">
        <v>0</v>
      </c>
      <c r="L9" s="15">
        <f t="shared" si="0"/>
        <v>3</v>
      </c>
      <c r="M9" s="25" t="str">
        <f t="shared" si="1"/>
        <v/>
      </c>
      <c r="N9" s="27"/>
    </row>
    <row r="10" spans="1:14 16361:16362">
      <c r="A10" s="4" t="s">
        <v>815</v>
      </c>
      <c r="B10" s="4" t="s">
        <v>800</v>
      </c>
      <c r="C10" s="5">
        <f t="shared" si="2"/>
        <v>8</v>
      </c>
      <c r="D10" s="36"/>
      <c r="E10" s="32"/>
      <c r="F10" s="4" t="s">
        <v>24</v>
      </c>
      <c r="G10" s="4" t="s">
        <v>25</v>
      </c>
      <c r="H10" s="4">
        <v>6</v>
      </c>
      <c r="I10" s="4">
        <v>4</v>
      </c>
      <c r="J10" s="4">
        <v>0</v>
      </c>
      <c r="K10" s="4">
        <v>0</v>
      </c>
      <c r="L10" s="15">
        <f t="shared" si="0"/>
        <v>4</v>
      </c>
      <c r="M10" s="25" t="str">
        <f t="shared" si="1"/>
        <v/>
      </c>
      <c r="N10" s="27"/>
    </row>
    <row r="11" spans="1:14 16361:16362">
      <c r="A11" s="4" t="s">
        <v>816</v>
      </c>
      <c r="B11" s="4" t="s">
        <v>799</v>
      </c>
      <c r="C11" s="5">
        <f t="shared" si="2"/>
        <v>9</v>
      </c>
      <c r="D11" s="36"/>
      <c r="E11" s="32"/>
      <c r="F11" s="4" t="s">
        <v>26</v>
      </c>
      <c r="G11" s="4" t="s">
        <v>27</v>
      </c>
      <c r="H11" s="4">
        <v>12</v>
      </c>
      <c r="I11" s="4">
        <v>7</v>
      </c>
      <c r="J11" s="4">
        <v>0</v>
      </c>
      <c r="K11" s="4">
        <v>0</v>
      </c>
      <c r="L11" s="15">
        <f t="shared" si="0"/>
        <v>7</v>
      </c>
      <c r="M11" s="25" t="str">
        <f t="shared" si="1"/>
        <v/>
      </c>
      <c r="N11" s="27"/>
    </row>
    <row r="12" spans="1:14 16361:16362">
      <c r="A12" s="4" t="s">
        <v>817</v>
      </c>
      <c r="B12" s="4" t="s">
        <v>801</v>
      </c>
      <c r="C12" s="5">
        <f t="shared" si="2"/>
        <v>10</v>
      </c>
      <c r="D12" s="36"/>
      <c r="E12" s="32"/>
      <c r="F12" s="4" t="s">
        <v>28</v>
      </c>
      <c r="G12" s="4" t="s">
        <v>29</v>
      </c>
      <c r="H12" s="4">
        <v>9</v>
      </c>
      <c r="I12" s="4">
        <v>4</v>
      </c>
      <c r="J12" s="4">
        <v>0</v>
      </c>
      <c r="K12" s="4">
        <v>0</v>
      </c>
      <c r="L12" s="15">
        <f t="shared" si="0"/>
        <v>4</v>
      </c>
      <c r="M12" s="25" t="str">
        <f t="shared" si="1"/>
        <v/>
      </c>
      <c r="N12" s="27"/>
    </row>
    <row r="13" spans="1:14 16361:16362">
      <c r="A13" s="4" t="s">
        <v>818</v>
      </c>
      <c r="B13" s="4" t="s">
        <v>798</v>
      </c>
      <c r="C13" s="5">
        <f t="shared" si="2"/>
        <v>11</v>
      </c>
      <c r="D13" s="36"/>
      <c r="E13" s="32"/>
      <c r="F13" s="4" t="s">
        <v>30</v>
      </c>
      <c r="G13" s="4" t="s">
        <v>31</v>
      </c>
      <c r="H13" s="4">
        <v>5</v>
      </c>
      <c r="I13" s="4">
        <v>0</v>
      </c>
      <c r="J13" s="4">
        <v>0</v>
      </c>
      <c r="K13" s="4">
        <v>0</v>
      </c>
      <c r="L13" s="15">
        <f t="shared" si="0"/>
        <v>0</v>
      </c>
      <c r="M13" s="25" t="str">
        <f t="shared" si="1"/>
        <v>Week Off</v>
      </c>
      <c r="N13" s="27"/>
    </row>
    <row r="14" spans="1:14 16361:16362" ht="15.6">
      <c r="A14" s="4"/>
      <c r="B14" s="4"/>
      <c r="C14" s="5"/>
      <c r="D14" s="36"/>
      <c r="E14" s="6"/>
      <c r="F14" s="7" t="s">
        <v>32</v>
      </c>
      <c r="G14" s="7">
        <v>11</v>
      </c>
      <c r="H14" s="7">
        <f t="shared" ref="H14:L14" si="3">SUM(H3:H13)</f>
        <v>90</v>
      </c>
      <c r="I14" s="7">
        <f t="shared" si="3"/>
        <v>52</v>
      </c>
      <c r="J14" s="7">
        <f t="shared" si="3"/>
        <v>0</v>
      </c>
      <c r="K14" s="7">
        <f t="shared" si="3"/>
        <v>0</v>
      </c>
      <c r="L14" s="7">
        <f t="shared" si="3"/>
        <v>52</v>
      </c>
      <c r="M14" s="25"/>
      <c r="N14" s="27"/>
    </row>
    <row r="15" spans="1:14 16361:16362">
      <c r="A15" s="4" t="s">
        <v>819</v>
      </c>
      <c r="B15" s="4" t="s">
        <v>798</v>
      </c>
      <c r="C15" s="5">
        <f>C13+1</f>
        <v>12</v>
      </c>
      <c r="D15" s="36"/>
      <c r="E15" s="32" t="s">
        <v>8</v>
      </c>
      <c r="F15" s="5" t="s">
        <v>10</v>
      </c>
      <c r="G15" s="5" t="s">
        <v>33</v>
      </c>
      <c r="H15" s="4">
        <v>10</v>
      </c>
      <c r="I15" s="4">
        <v>1</v>
      </c>
      <c r="J15" s="4">
        <v>0</v>
      </c>
      <c r="K15" s="4">
        <v>0</v>
      </c>
      <c r="L15" s="15">
        <f t="shared" ref="L15:L17" si="4">I15+J15+K15</f>
        <v>1</v>
      </c>
      <c r="M15" s="25" t="str">
        <f t="shared" ref="M15:M17" si="5">IFERROR(IF(TEXT(DATEVALUE(SUBSTITUTE(TRIM(MID($H$2,FIND("on",$H$2)+3,99)),"'","-")),"dddd")=B15,"Week Off",IF(H15="","",IF($H15=0,"Case Not Received",""))),"")</f>
        <v>Week Off</v>
      </c>
      <c r="N15" s="28">
        <f>(COUNTIF(I15:I17,"0"))/3</f>
        <v>0</v>
      </c>
    </row>
    <row r="16" spans="1:14 16361:16362">
      <c r="A16" s="4" t="s">
        <v>820</v>
      </c>
      <c r="B16" s="4" t="s">
        <v>800</v>
      </c>
      <c r="C16" s="5">
        <f t="shared" si="2"/>
        <v>13</v>
      </c>
      <c r="D16" s="36"/>
      <c r="E16" s="32"/>
      <c r="F16" s="5" t="s">
        <v>34</v>
      </c>
      <c r="G16" s="5" t="s">
        <v>35</v>
      </c>
      <c r="H16" s="4">
        <v>3</v>
      </c>
      <c r="I16" s="4">
        <v>2</v>
      </c>
      <c r="J16" s="4">
        <v>0</v>
      </c>
      <c r="K16" s="4">
        <v>0</v>
      </c>
      <c r="L16" s="15">
        <f t="shared" si="4"/>
        <v>2</v>
      </c>
      <c r="M16" s="25" t="str">
        <f t="shared" si="5"/>
        <v/>
      </c>
      <c r="N16" s="28"/>
    </row>
    <row r="17" spans="1:14">
      <c r="A17" s="4" t="s">
        <v>821</v>
      </c>
      <c r="B17" s="4" t="s">
        <v>799</v>
      </c>
      <c r="C17" s="5">
        <f t="shared" si="2"/>
        <v>14</v>
      </c>
      <c r="D17" s="36"/>
      <c r="E17" s="32"/>
      <c r="F17" s="5" t="s">
        <v>36</v>
      </c>
      <c r="G17" s="5" t="s">
        <v>37</v>
      </c>
      <c r="H17" s="4">
        <v>7</v>
      </c>
      <c r="I17" s="4">
        <v>5</v>
      </c>
      <c r="J17" s="4">
        <v>0</v>
      </c>
      <c r="K17" s="4">
        <v>0</v>
      </c>
      <c r="L17" s="15">
        <f t="shared" si="4"/>
        <v>5</v>
      </c>
      <c r="M17" s="25" t="str">
        <f t="shared" si="5"/>
        <v/>
      </c>
      <c r="N17" s="28"/>
    </row>
    <row r="18" spans="1:14">
      <c r="A18" s="4"/>
      <c r="B18" s="4"/>
      <c r="C18" s="5"/>
      <c r="D18" s="36"/>
      <c r="E18" s="6"/>
      <c r="F18" s="6" t="s">
        <v>32</v>
      </c>
      <c r="G18" s="6">
        <v>3</v>
      </c>
      <c r="H18" s="6">
        <f t="shared" ref="H18:L18" si="6">SUM(H15:H17)</f>
        <v>20</v>
      </c>
      <c r="I18" s="6">
        <f t="shared" si="6"/>
        <v>8</v>
      </c>
      <c r="J18" s="6">
        <f t="shared" si="6"/>
        <v>0</v>
      </c>
      <c r="K18" s="6">
        <f t="shared" si="6"/>
        <v>0</v>
      </c>
      <c r="L18" s="6">
        <f t="shared" si="6"/>
        <v>8</v>
      </c>
      <c r="M18" s="25"/>
      <c r="N18" s="28"/>
    </row>
    <row r="19" spans="1:14">
      <c r="A19" s="4" t="s">
        <v>822</v>
      </c>
      <c r="B19" s="4" t="s">
        <v>802</v>
      </c>
      <c r="C19" s="5">
        <f>C17+1</f>
        <v>15</v>
      </c>
      <c r="D19" s="36"/>
      <c r="E19" s="32" t="s">
        <v>38</v>
      </c>
      <c r="F19" s="4" t="s">
        <v>10</v>
      </c>
      <c r="G19" s="4" t="s">
        <v>39</v>
      </c>
      <c r="H19" s="4">
        <v>1</v>
      </c>
      <c r="I19" s="4">
        <v>1</v>
      </c>
      <c r="J19" s="4">
        <v>0</v>
      </c>
      <c r="K19" s="4">
        <v>0</v>
      </c>
      <c r="L19" s="15">
        <f t="shared" ref="L19:L22" si="7">I19+J19+K19</f>
        <v>1</v>
      </c>
      <c r="M19" s="25" t="str">
        <f t="shared" ref="M19:M22" si="8">IFERROR(IF(TEXT(DATEVALUE(SUBSTITUTE(TRIM(MID($H$2,FIND("on",$H$2)+3,99)),"'","-")),"dddd")=B19,"Week Off",IF(H19="","",IF($H19=0,"Case Not Received",""))),"")</f>
        <v/>
      </c>
      <c r="N19" s="27">
        <f>(COUNTIF(I19:I22,"0"))/4</f>
        <v>0</v>
      </c>
    </row>
    <row r="20" spans="1:14">
      <c r="A20" s="4" t="s">
        <v>823</v>
      </c>
      <c r="B20" s="4" t="s">
        <v>797</v>
      </c>
      <c r="C20" s="5">
        <f t="shared" si="2"/>
        <v>16</v>
      </c>
      <c r="D20" s="36"/>
      <c r="E20" s="32"/>
      <c r="F20" s="4" t="s">
        <v>40</v>
      </c>
      <c r="G20" s="4" t="s">
        <v>41</v>
      </c>
      <c r="H20" s="4">
        <v>10</v>
      </c>
      <c r="I20" s="4">
        <v>7</v>
      </c>
      <c r="J20" s="4">
        <v>0</v>
      </c>
      <c r="K20" s="4">
        <v>0</v>
      </c>
      <c r="L20" s="15">
        <f t="shared" si="7"/>
        <v>7</v>
      </c>
      <c r="M20" s="25" t="str">
        <f t="shared" si="8"/>
        <v/>
      </c>
      <c r="N20" s="27"/>
    </row>
    <row r="21" spans="1:14">
      <c r="A21" s="4" t="s">
        <v>824</v>
      </c>
      <c r="B21" s="4" t="s">
        <v>799</v>
      </c>
      <c r="C21" s="5">
        <f t="shared" si="2"/>
        <v>17</v>
      </c>
      <c r="D21" s="36"/>
      <c r="E21" s="32"/>
      <c r="F21" s="4" t="s">
        <v>42</v>
      </c>
      <c r="G21" s="4" t="s">
        <v>43</v>
      </c>
      <c r="H21" s="4">
        <v>8</v>
      </c>
      <c r="I21" s="4">
        <v>6</v>
      </c>
      <c r="J21" s="4">
        <v>0</v>
      </c>
      <c r="K21" s="4">
        <v>0</v>
      </c>
      <c r="L21" s="15">
        <f t="shared" si="7"/>
        <v>6</v>
      </c>
      <c r="M21" s="25" t="str">
        <f t="shared" si="8"/>
        <v/>
      </c>
      <c r="N21" s="27"/>
    </row>
    <row r="22" spans="1:14">
      <c r="A22" s="4" t="s">
        <v>825</v>
      </c>
      <c r="B22" s="4" t="s">
        <v>801</v>
      </c>
      <c r="C22" s="5">
        <f t="shared" si="2"/>
        <v>18</v>
      </c>
      <c r="D22" s="36"/>
      <c r="E22" s="32"/>
      <c r="F22" s="4" t="s">
        <v>44</v>
      </c>
      <c r="G22" s="4" t="s">
        <v>45</v>
      </c>
      <c r="H22" s="4">
        <v>5</v>
      </c>
      <c r="I22" s="4">
        <v>4</v>
      </c>
      <c r="J22" s="4">
        <v>0</v>
      </c>
      <c r="K22" s="4">
        <v>0</v>
      </c>
      <c r="L22" s="15">
        <f t="shared" si="7"/>
        <v>4</v>
      </c>
      <c r="M22" s="25" t="str">
        <f t="shared" si="8"/>
        <v/>
      </c>
      <c r="N22" s="27"/>
    </row>
    <row r="23" spans="1:14" ht="15.6">
      <c r="A23" s="4"/>
      <c r="B23" s="4"/>
      <c r="C23" s="5"/>
      <c r="D23" s="36"/>
      <c r="E23" s="6"/>
      <c r="F23" s="7" t="s">
        <v>32</v>
      </c>
      <c r="G23" s="7">
        <v>4</v>
      </c>
      <c r="H23" s="7">
        <f t="shared" ref="H23:L23" si="9">SUM(H19:H22)</f>
        <v>24</v>
      </c>
      <c r="I23" s="7">
        <f t="shared" si="9"/>
        <v>18</v>
      </c>
      <c r="J23" s="7">
        <f t="shared" si="9"/>
        <v>0</v>
      </c>
      <c r="K23" s="7">
        <f t="shared" si="9"/>
        <v>0</v>
      </c>
      <c r="L23" s="7">
        <f t="shared" si="9"/>
        <v>18</v>
      </c>
      <c r="M23" s="25"/>
      <c r="N23" s="27"/>
    </row>
    <row r="24" spans="1:14">
      <c r="A24" s="4" t="s">
        <v>826</v>
      </c>
      <c r="B24" s="4" t="s">
        <v>803</v>
      </c>
      <c r="C24" s="5">
        <f>C22+1</f>
        <v>19</v>
      </c>
      <c r="D24" s="36"/>
      <c r="E24" s="32" t="s">
        <v>793</v>
      </c>
      <c r="F24" s="5" t="s">
        <v>10</v>
      </c>
      <c r="G24" s="5" t="s">
        <v>46</v>
      </c>
      <c r="H24" s="4">
        <v>5</v>
      </c>
      <c r="I24" s="4">
        <v>4</v>
      </c>
      <c r="J24" s="4">
        <v>0</v>
      </c>
      <c r="K24" s="4">
        <v>0</v>
      </c>
      <c r="L24" s="15">
        <f t="shared" ref="L24:L31" si="10">I24+J24+K24</f>
        <v>4</v>
      </c>
      <c r="M24" s="25" t="str">
        <f t="shared" ref="M24:M31" si="11">IFERROR(IF(TEXT(DATEVALUE(SUBSTITUTE(TRIM(MID($H$2,FIND("on",$H$2)+3,99)),"'","-")),"dddd")=B24,"Week Off",IF(H24="","",IF($H24=0,"Case Not Received",""))),"")</f>
        <v/>
      </c>
      <c r="N24" s="28">
        <f>(COUNTIF(I24:I31,"0"))/8</f>
        <v>0.125</v>
      </c>
    </row>
    <row r="25" spans="1:14">
      <c r="A25" s="4" t="s">
        <v>827</v>
      </c>
      <c r="B25" s="4" t="s">
        <v>803</v>
      </c>
      <c r="C25" s="5">
        <f t="shared" si="2"/>
        <v>20</v>
      </c>
      <c r="D25" s="36"/>
      <c r="E25" s="32"/>
      <c r="F25" s="5" t="s">
        <v>47</v>
      </c>
      <c r="G25" s="5" t="s">
        <v>48</v>
      </c>
      <c r="H25" s="4">
        <v>7</v>
      </c>
      <c r="I25" s="4">
        <v>6</v>
      </c>
      <c r="J25" s="4">
        <v>0</v>
      </c>
      <c r="K25" s="4">
        <v>0</v>
      </c>
      <c r="L25" s="15">
        <f t="shared" si="10"/>
        <v>6</v>
      </c>
      <c r="M25" s="25" t="str">
        <f t="shared" si="11"/>
        <v/>
      </c>
      <c r="N25" s="28"/>
    </row>
    <row r="26" spans="1:14">
      <c r="A26" s="4" t="s">
        <v>828</v>
      </c>
      <c r="B26" s="4" t="s">
        <v>798</v>
      </c>
      <c r="C26" s="5">
        <f t="shared" si="2"/>
        <v>21</v>
      </c>
      <c r="D26" s="36"/>
      <c r="E26" s="32"/>
      <c r="F26" s="5" t="s">
        <v>49</v>
      </c>
      <c r="G26" s="5" t="s">
        <v>50</v>
      </c>
      <c r="H26" s="4">
        <v>9</v>
      </c>
      <c r="I26" s="4">
        <v>1</v>
      </c>
      <c r="J26" s="4">
        <v>0</v>
      </c>
      <c r="K26" s="4">
        <v>0</v>
      </c>
      <c r="L26" s="15">
        <f t="shared" si="10"/>
        <v>1</v>
      </c>
      <c r="M26" s="25" t="str">
        <f t="shared" si="11"/>
        <v>Week Off</v>
      </c>
      <c r="N26" s="28"/>
    </row>
    <row r="27" spans="1:14">
      <c r="A27" s="24" t="s">
        <v>1008</v>
      </c>
      <c r="B27" s="4" t="s">
        <v>800</v>
      </c>
      <c r="C27" s="5">
        <f t="shared" si="2"/>
        <v>22</v>
      </c>
      <c r="D27" s="36"/>
      <c r="E27" s="32"/>
      <c r="F27" s="5" t="s">
        <v>51</v>
      </c>
      <c r="G27" s="5" t="s">
        <v>52</v>
      </c>
      <c r="H27" s="4">
        <v>6</v>
      </c>
      <c r="I27" s="4">
        <v>6</v>
      </c>
      <c r="J27" s="4">
        <v>0</v>
      </c>
      <c r="K27" s="4">
        <v>0</v>
      </c>
      <c r="L27" s="15">
        <f t="shared" si="10"/>
        <v>6</v>
      </c>
      <c r="M27" s="25" t="str">
        <f t="shared" si="11"/>
        <v/>
      </c>
      <c r="N27" s="28"/>
    </row>
    <row r="28" spans="1:14">
      <c r="A28" s="4" t="s">
        <v>830</v>
      </c>
      <c r="B28" s="4" t="s">
        <v>800</v>
      </c>
      <c r="C28" s="5">
        <f t="shared" ref="C28:C31" si="12">C27+1</f>
        <v>23</v>
      </c>
      <c r="D28" s="36"/>
      <c r="E28" s="32"/>
      <c r="F28" s="22" t="s">
        <v>794</v>
      </c>
      <c r="G28" s="5" t="s">
        <v>53</v>
      </c>
      <c r="H28" s="4">
        <v>8</v>
      </c>
      <c r="I28" s="4">
        <v>8</v>
      </c>
      <c r="J28" s="4">
        <v>0</v>
      </c>
      <c r="K28" s="4">
        <v>0</v>
      </c>
      <c r="L28" s="15">
        <f t="shared" si="10"/>
        <v>8</v>
      </c>
      <c r="M28" s="25" t="str">
        <f t="shared" si="11"/>
        <v/>
      </c>
      <c r="N28" s="28"/>
    </row>
    <row r="29" spans="1:14">
      <c r="A29" s="4" t="s">
        <v>831</v>
      </c>
      <c r="B29" s="4" t="s">
        <v>802</v>
      </c>
      <c r="C29" s="5">
        <f t="shared" si="12"/>
        <v>24</v>
      </c>
      <c r="D29" s="36"/>
      <c r="E29" s="32"/>
      <c r="F29" s="5" t="s">
        <v>54</v>
      </c>
      <c r="G29" s="5" t="s">
        <v>55</v>
      </c>
      <c r="H29" s="4">
        <v>8</v>
      </c>
      <c r="I29" s="4">
        <v>1</v>
      </c>
      <c r="J29" s="4">
        <v>0</v>
      </c>
      <c r="K29" s="4">
        <v>0</v>
      </c>
      <c r="L29" s="15">
        <f t="shared" si="10"/>
        <v>1</v>
      </c>
      <c r="M29" s="25" t="str">
        <f t="shared" si="11"/>
        <v/>
      </c>
      <c r="N29" s="28"/>
    </row>
    <row r="30" spans="1:14">
      <c r="A30" s="4" t="s">
        <v>832</v>
      </c>
      <c r="B30" s="4" t="s">
        <v>802</v>
      </c>
      <c r="C30" s="5">
        <f t="shared" si="12"/>
        <v>25</v>
      </c>
      <c r="D30" s="36"/>
      <c r="E30" s="32"/>
      <c r="F30" s="5" t="s">
        <v>56</v>
      </c>
      <c r="G30" s="5" t="s">
        <v>57</v>
      </c>
      <c r="H30" s="4">
        <v>18</v>
      </c>
      <c r="I30" s="4">
        <v>12</v>
      </c>
      <c r="J30" s="4">
        <v>0</v>
      </c>
      <c r="K30" s="4">
        <v>0</v>
      </c>
      <c r="L30" s="15">
        <f t="shared" si="10"/>
        <v>12</v>
      </c>
      <c r="M30" s="25" t="str">
        <f t="shared" si="11"/>
        <v/>
      </c>
      <c r="N30" s="28"/>
    </row>
    <row r="31" spans="1:14">
      <c r="A31" s="4" t="s">
        <v>833</v>
      </c>
      <c r="B31" s="4" t="s">
        <v>798</v>
      </c>
      <c r="C31" s="5">
        <f t="shared" si="12"/>
        <v>26</v>
      </c>
      <c r="D31" s="36"/>
      <c r="E31" s="32"/>
      <c r="F31" s="5" t="s">
        <v>58</v>
      </c>
      <c r="G31" s="5" t="s">
        <v>59</v>
      </c>
      <c r="H31" s="4">
        <v>3</v>
      </c>
      <c r="I31" s="4">
        <v>0</v>
      </c>
      <c r="J31" s="4">
        <v>0</v>
      </c>
      <c r="K31" s="4">
        <v>0</v>
      </c>
      <c r="L31" s="15">
        <f t="shared" si="10"/>
        <v>0</v>
      </c>
      <c r="M31" s="25" t="str">
        <f t="shared" si="11"/>
        <v>Week Off</v>
      </c>
      <c r="N31" s="28"/>
    </row>
    <row r="32" spans="1:14" ht="15.6">
      <c r="A32" s="4"/>
      <c r="B32" s="4"/>
      <c r="C32" s="5"/>
      <c r="D32" s="36"/>
      <c r="E32" s="6"/>
      <c r="F32" s="7" t="s">
        <v>32</v>
      </c>
      <c r="G32" s="7">
        <v>8</v>
      </c>
      <c r="H32" s="7">
        <f t="shared" ref="H32:L32" si="13">SUM(H24:H31)</f>
        <v>64</v>
      </c>
      <c r="I32" s="7">
        <f t="shared" si="13"/>
        <v>38</v>
      </c>
      <c r="J32" s="7">
        <f t="shared" si="13"/>
        <v>0</v>
      </c>
      <c r="K32" s="7">
        <f t="shared" si="13"/>
        <v>0</v>
      </c>
      <c r="L32" s="7">
        <f t="shared" si="13"/>
        <v>38</v>
      </c>
      <c r="M32" s="25"/>
      <c r="N32" s="28"/>
    </row>
    <row r="33" spans="1:14">
      <c r="A33" s="4" t="s">
        <v>834</v>
      </c>
      <c r="B33" s="4">
        <v>0</v>
      </c>
      <c r="C33" s="5">
        <f>C31+1</f>
        <v>27</v>
      </c>
      <c r="D33" s="36"/>
      <c r="E33" s="33" t="s">
        <v>60</v>
      </c>
      <c r="F33" s="4" t="s">
        <v>10</v>
      </c>
      <c r="G33" s="4" t="s">
        <v>61</v>
      </c>
      <c r="H33" s="4">
        <v>5</v>
      </c>
      <c r="I33" s="4">
        <v>5</v>
      </c>
      <c r="J33" s="4">
        <v>0</v>
      </c>
      <c r="K33" s="4">
        <v>0</v>
      </c>
      <c r="L33" s="15">
        <f t="shared" ref="L33:L40" si="14">I33+J33+K33</f>
        <v>5</v>
      </c>
      <c r="M33" s="25" t="str">
        <f t="shared" ref="M33:M40" si="15">IFERROR(IF(TEXT(DATEVALUE(SUBSTITUTE(TRIM(MID($H$2,FIND("on",$H$2)+3,99)),"'","-")),"dddd")=B33,"Week Off",IF(H33="","",IF($H33=0,"Case Not Received",""))),"")</f>
        <v/>
      </c>
      <c r="N33" s="27">
        <f>(COUNTIF(I33:I40,"0"))/8</f>
        <v>0</v>
      </c>
    </row>
    <row r="34" spans="1:14">
      <c r="A34" s="4" t="s">
        <v>835</v>
      </c>
      <c r="B34" s="4">
        <v>0</v>
      </c>
      <c r="C34" s="5">
        <f t="shared" ref="C34:C40" si="16">C33+1</f>
        <v>28</v>
      </c>
      <c r="D34" s="36"/>
      <c r="E34" s="33"/>
      <c r="F34" s="4" t="s">
        <v>62</v>
      </c>
      <c r="G34" s="4" t="s">
        <v>63</v>
      </c>
      <c r="H34" s="4">
        <v>8</v>
      </c>
      <c r="I34" s="4">
        <v>2</v>
      </c>
      <c r="J34" s="4">
        <v>0</v>
      </c>
      <c r="K34" s="4">
        <v>0</v>
      </c>
      <c r="L34" s="15">
        <f t="shared" si="14"/>
        <v>2</v>
      </c>
      <c r="M34" s="25" t="str">
        <f t="shared" si="15"/>
        <v/>
      </c>
      <c r="N34" s="27"/>
    </row>
    <row r="35" spans="1:14">
      <c r="A35" s="4" t="s">
        <v>836</v>
      </c>
      <c r="B35" s="4">
        <v>0</v>
      </c>
      <c r="C35" s="5">
        <f t="shared" si="16"/>
        <v>29</v>
      </c>
      <c r="D35" s="36"/>
      <c r="E35" s="33"/>
      <c r="F35" s="4" t="s">
        <v>64</v>
      </c>
      <c r="G35" s="4" t="s">
        <v>65</v>
      </c>
      <c r="H35" s="4">
        <v>8</v>
      </c>
      <c r="I35" s="4">
        <v>3</v>
      </c>
      <c r="J35" s="4">
        <v>0</v>
      </c>
      <c r="K35" s="4">
        <v>0</v>
      </c>
      <c r="L35" s="15">
        <f t="shared" si="14"/>
        <v>3</v>
      </c>
      <c r="M35" s="25" t="str">
        <f t="shared" si="15"/>
        <v/>
      </c>
      <c r="N35" s="27"/>
    </row>
    <row r="36" spans="1:14">
      <c r="A36" s="4" t="s">
        <v>837</v>
      </c>
      <c r="B36" s="4">
        <v>0</v>
      </c>
      <c r="C36" s="5">
        <f t="shared" si="16"/>
        <v>30</v>
      </c>
      <c r="D36" s="36"/>
      <c r="E36" s="33"/>
      <c r="F36" s="4" t="s">
        <v>66</v>
      </c>
      <c r="G36" s="4" t="s">
        <v>67</v>
      </c>
      <c r="H36" s="4">
        <v>13</v>
      </c>
      <c r="I36" s="4">
        <v>8</v>
      </c>
      <c r="J36" s="4">
        <v>0</v>
      </c>
      <c r="K36" s="4">
        <v>0</v>
      </c>
      <c r="L36" s="15">
        <f t="shared" si="14"/>
        <v>8</v>
      </c>
      <c r="M36" s="25" t="str">
        <f t="shared" si="15"/>
        <v/>
      </c>
      <c r="N36" s="27"/>
    </row>
    <row r="37" spans="1:14">
      <c r="A37" s="4" t="s">
        <v>838</v>
      </c>
      <c r="B37" s="4">
        <v>0</v>
      </c>
      <c r="C37" s="5">
        <f t="shared" si="16"/>
        <v>31</v>
      </c>
      <c r="D37" s="36"/>
      <c r="E37" s="33"/>
      <c r="F37" s="4" t="s">
        <v>68</v>
      </c>
      <c r="G37" s="4" t="s">
        <v>69</v>
      </c>
      <c r="H37" s="4">
        <v>16</v>
      </c>
      <c r="I37" s="4">
        <v>7</v>
      </c>
      <c r="J37" s="4">
        <v>0</v>
      </c>
      <c r="K37" s="4">
        <v>0</v>
      </c>
      <c r="L37" s="15">
        <f t="shared" si="14"/>
        <v>7</v>
      </c>
      <c r="M37" s="25" t="str">
        <f t="shared" si="15"/>
        <v/>
      </c>
      <c r="N37" s="27"/>
    </row>
    <row r="38" spans="1:14">
      <c r="A38" s="4" t="s">
        <v>839</v>
      </c>
      <c r="B38" s="4">
        <v>0</v>
      </c>
      <c r="C38" s="5">
        <f t="shared" si="16"/>
        <v>32</v>
      </c>
      <c r="D38" s="36"/>
      <c r="E38" s="33"/>
      <c r="F38" s="4" t="s">
        <v>70</v>
      </c>
      <c r="G38" s="4" t="s">
        <v>71</v>
      </c>
      <c r="H38" s="4">
        <v>4</v>
      </c>
      <c r="I38" s="4">
        <v>4</v>
      </c>
      <c r="J38" s="4">
        <v>0</v>
      </c>
      <c r="K38" s="4">
        <v>0</v>
      </c>
      <c r="L38" s="15">
        <f t="shared" si="14"/>
        <v>4</v>
      </c>
      <c r="M38" s="25" t="str">
        <f t="shared" si="15"/>
        <v/>
      </c>
      <c r="N38" s="27"/>
    </row>
    <row r="39" spans="1:14">
      <c r="A39" s="4" t="s">
        <v>840</v>
      </c>
      <c r="B39" s="4">
        <v>0</v>
      </c>
      <c r="C39" s="5">
        <f t="shared" si="16"/>
        <v>33</v>
      </c>
      <c r="D39" s="36"/>
      <c r="E39" s="33"/>
      <c r="F39" s="4" t="s">
        <v>72</v>
      </c>
      <c r="G39" s="4" t="s">
        <v>73</v>
      </c>
      <c r="H39" s="4">
        <v>8</v>
      </c>
      <c r="I39" s="4">
        <v>6</v>
      </c>
      <c r="J39" s="4">
        <v>0</v>
      </c>
      <c r="K39" s="4">
        <v>0</v>
      </c>
      <c r="L39" s="15">
        <f t="shared" si="14"/>
        <v>6</v>
      </c>
      <c r="M39" s="25" t="str">
        <f t="shared" si="15"/>
        <v/>
      </c>
      <c r="N39" s="27"/>
    </row>
    <row r="40" spans="1:14">
      <c r="A40" s="4" t="s">
        <v>841</v>
      </c>
      <c r="B40" s="4">
        <v>0</v>
      </c>
      <c r="C40" s="5">
        <f t="shared" si="16"/>
        <v>34</v>
      </c>
      <c r="D40" s="36"/>
      <c r="E40" s="33"/>
      <c r="F40" s="4" t="s">
        <v>74</v>
      </c>
      <c r="G40" s="4" t="s">
        <v>75</v>
      </c>
      <c r="H40" s="4">
        <v>5</v>
      </c>
      <c r="I40" s="4">
        <v>4</v>
      </c>
      <c r="J40" s="4">
        <v>0</v>
      </c>
      <c r="K40" s="4">
        <v>0</v>
      </c>
      <c r="L40" s="15">
        <f t="shared" si="14"/>
        <v>4</v>
      </c>
      <c r="M40" s="25" t="str">
        <f t="shared" si="15"/>
        <v/>
      </c>
      <c r="N40" s="27"/>
    </row>
    <row r="41" spans="1:14" ht="15.6">
      <c r="A41" s="4"/>
      <c r="B41" s="4"/>
      <c r="C41" s="5"/>
      <c r="D41" s="36"/>
      <c r="E41" s="6"/>
      <c r="F41" s="7" t="s">
        <v>32</v>
      </c>
      <c r="G41" s="7">
        <v>8</v>
      </c>
      <c r="H41" s="7">
        <f t="shared" ref="H41:L41" si="17">SUM(H33:H40)</f>
        <v>67</v>
      </c>
      <c r="I41" s="7">
        <f t="shared" si="17"/>
        <v>39</v>
      </c>
      <c r="J41" s="7">
        <f t="shared" si="17"/>
        <v>0</v>
      </c>
      <c r="K41" s="7">
        <f t="shared" si="17"/>
        <v>0</v>
      </c>
      <c r="L41" s="7">
        <f t="shared" si="17"/>
        <v>39</v>
      </c>
      <c r="M41" s="25"/>
      <c r="N41" s="27"/>
    </row>
    <row r="42" spans="1:14">
      <c r="A42" s="4" t="s">
        <v>842</v>
      </c>
      <c r="B42" s="4" t="s">
        <v>803</v>
      </c>
      <c r="C42" s="5">
        <f>C40+1</f>
        <v>35</v>
      </c>
      <c r="D42" s="36"/>
      <c r="E42" s="32" t="s">
        <v>76</v>
      </c>
      <c r="F42" s="4" t="s">
        <v>10</v>
      </c>
      <c r="G42" s="4" t="s">
        <v>77</v>
      </c>
      <c r="H42" s="4">
        <v>0</v>
      </c>
      <c r="I42" s="4">
        <v>0</v>
      </c>
      <c r="J42" s="4">
        <v>0</v>
      </c>
      <c r="K42" s="4">
        <v>0</v>
      </c>
      <c r="L42" s="15">
        <f t="shared" ref="L42:L50" si="18">I42+J42+K42</f>
        <v>0</v>
      </c>
      <c r="M42" s="25" t="str">
        <f t="shared" ref="M42:M50" si="19">IFERROR(IF(TEXT(DATEVALUE(SUBSTITUTE(TRIM(MID($H$2,FIND("on",$H$2)+3,99)),"'","-")),"dddd")=B42,"Week Off",IF(H42="","",IF($H42=0,"Case Not Received",""))),"")</f>
        <v>Case Not Received</v>
      </c>
      <c r="N42" s="27">
        <f>(COUNTIF(I42:I50,"0"))/9</f>
        <v>0.55555555555555558</v>
      </c>
    </row>
    <row r="43" spans="1:14">
      <c r="A43" s="4" t="s">
        <v>843</v>
      </c>
      <c r="B43" s="4" t="s">
        <v>801</v>
      </c>
      <c r="C43" s="5">
        <f t="shared" ref="C43:C50" si="20">C42+1</f>
        <v>36</v>
      </c>
      <c r="D43" s="36"/>
      <c r="E43" s="32"/>
      <c r="F43" s="4" t="s">
        <v>78</v>
      </c>
      <c r="G43" s="4" t="s">
        <v>79</v>
      </c>
      <c r="H43" s="4">
        <v>7</v>
      </c>
      <c r="I43" s="4">
        <v>0</v>
      </c>
      <c r="J43" s="4">
        <v>0</v>
      </c>
      <c r="K43" s="4">
        <v>0</v>
      </c>
      <c r="L43" s="15">
        <f t="shared" si="18"/>
        <v>0</v>
      </c>
      <c r="M43" s="25" t="str">
        <f t="shared" si="19"/>
        <v/>
      </c>
      <c r="N43" s="27"/>
    </row>
    <row r="44" spans="1:14">
      <c r="A44" s="4" t="s">
        <v>844</v>
      </c>
      <c r="B44" s="4" t="s">
        <v>800</v>
      </c>
      <c r="C44" s="5">
        <f t="shared" si="20"/>
        <v>37</v>
      </c>
      <c r="D44" s="36"/>
      <c r="E44" s="32"/>
      <c r="F44" s="4" t="s">
        <v>80</v>
      </c>
      <c r="G44" s="4" t="s">
        <v>81</v>
      </c>
      <c r="H44" s="4">
        <v>8</v>
      </c>
      <c r="I44" s="4">
        <v>2</v>
      </c>
      <c r="J44" s="4">
        <v>0</v>
      </c>
      <c r="K44" s="4">
        <v>0</v>
      </c>
      <c r="L44" s="15">
        <f t="shared" si="18"/>
        <v>2</v>
      </c>
      <c r="M44" s="25" t="str">
        <f t="shared" si="19"/>
        <v/>
      </c>
      <c r="N44" s="27"/>
    </row>
    <row r="45" spans="1:14">
      <c r="A45" s="4" t="s">
        <v>845</v>
      </c>
      <c r="B45" s="4" t="s">
        <v>799</v>
      </c>
      <c r="C45" s="5">
        <f t="shared" si="20"/>
        <v>38</v>
      </c>
      <c r="D45" s="36"/>
      <c r="E45" s="32"/>
      <c r="F45" s="4" t="s">
        <v>82</v>
      </c>
      <c r="G45" s="4" t="s">
        <v>83</v>
      </c>
      <c r="H45" s="4">
        <v>5</v>
      </c>
      <c r="I45" s="4">
        <v>4</v>
      </c>
      <c r="J45" s="4">
        <v>0</v>
      </c>
      <c r="K45" s="4">
        <v>0</v>
      </c>
      <c r="L45" s="15">
        <f t="shared" si="18"/>
        <v>4</v>
      </c>
      <c r="M45" s="25" t="str">
        <f t="shared" si="19"/>
        <v/>
      </c>
      <c r="N45" s="27"/>
    </row>
    <row r="46" spans="1:14">
      <c r="A46" s="4" t="s">
        <v>846</v>
      </c>
      <c r="B46" s="4" t="s">
        <v>799</v>
      </c>
      <c r="C46" s="5">
        <f t="shared" si="20"/>
        <v>39</v>
      </c>
      <c r="D46" s="36"/>
      <c r="E46" s="32"/>
      <c r="F46" s="4" t="s">
        <v>84</v>
      </c>
      <c r="G46" s="4" t="s">
        <v>85</v>
      </c>
      <c r="H46" s="4">
        <v>4</v>
      </c>
      <c r="I46" s="4">
        <v>0</v>
      </c>
      <c r="J46" s="4">
        <v>0</v>
      </c>
      <c r="K46" s="4">
        <v>0</v>
      </c>
      <c r="L46" s="15">
        <f t="shared" si="18"/>
        <v>0</v>
      </c>
      <c r="M46" s="25" t="str">
        <f t="shared" si="19"/>
        <v/>
      </c>
      <c r="N46" s="27"/>
    </row>
    <row r="47" spans="1:14">
      <c r="A47" s="4" t="s">
        <v>847</v>
      </c>
      <c r="B47" s="4" t="s">
        <v>800</v>
      </c>
      <c r="C47" s="5">
        <f t="shared" si="20"/>
        <v>40</v>
      </c>
      <c r="D47" s="36"/>
      <c r="E47" s="32"/>
      <c r="F47" s="4" t="s">
        <v>84</v>
      </c>
      <c r="G47" s="4" t="s">
        <v>86</v>
      </c>
      <c r="H47" s="4">
        <v>1</v>
      </c>
      <c r="I47" s="4">
        <v>0</v>
      </c>
      <c r="J47" s="4">
        <v>0</v>
      </c>
      <c r="K47" s="4">
        <v>0</v>
      </c>
      <c r="L47" s="15">
        <f t="shared" si="18"/>
        <v>0</v>
      </c>
      <c r="M47" s="25" t="str">
        <f t="shared" si="19"/>
        <v/>
      </c>
      <c r="N47" s="27"/>
    </row>
    <row r="48" spans="1:14">
      <c r="A48" s="4" t="s">
        <v>848</v>
      </c>
      <c r="B48" s="4" t="s">
        <v>798</v>
      </c>
      <c r="C48" s="5">
        <f t="shared" si="20"/>
        <v>41</v>
      </c>
      <c r="D48" s="36"/>
      <c r="E48" s="32"/>
      <c r="F48" s="4" t="s">
        <v>87</v>
      </c>
      <c r="G48" s="4" t="s">
        <v>88</v>
      </c>
      <c r="H48" s="4">
        <v>8</v>
      </c>
      <c r="I48" s="4">
        <v>1</v>
      </c>
      <c r="J48" s="4">
        <v>0</v>
      </c>
      <c r="K48" s="4">
        <v>0</v>
      </c>
      <c r="L48" s="15">
        <f t="shared" si="18"/>
        <v>1</v>
      </c>
      <c r="M48" s="25" t="str">
        <f t="shared" si="19"/>
        <v>Week Off</v>
      </c>
      <c r="N48" s="27"/>
    </row>
    <row r="49" spans="1:14">
      <c r="A49" s="4" t="s">
        <v>849</v>
      </c>
      <c r="B49" s="4" t="s">
        <v>797</v>
      </c>
      <c r="C49" s="5">
        <f t="shared" si="20"/>
        <v>42</v>
      </c>
      <c r="D49" s="36"/>
      <c r="E49" s="32"/>
      <c r="F49" s="4" t="s">
        <v>87</v>
      </c>
      <c r="G49" s="4" t="s">
        <v>89</v>
      </c>
      <c r="H49" s="4">
        <v>18</v>
      </c>
      <c r="I49" s="4">
        <v>13</v>
      </c>
      <c r="J49" s="4">
        <v>0</v>
      </c>
      <c r="K49" s="4">
        <v>0</v>
      </c>
      <c r="L49" s="15">
        <f t="shared" si="18"/>
        <v>13</v>
      </c>
      <c r="M49" s="25" t="str">
        <f t="shared" si="19"/>
        <v/>
      </c>
      <c r="N49" s="27"/>
    </row>
    <row r="50" spans="1:14">
      <c r="A50" s="4" t="s">
        <v>850</v>
      </c>
      <c r="B50" s="4" t="s">
        <v>802</v>
      </c>
      <c r="C50" s="5">
        <f t="shared" si="20"/>
        <v>43</v>
      </c>
      <c r="D50" s="36"/>
      <c r="E50" s="32"/>
      <c r="F50" s="4" t="s">
        <v>90</v>
      </c>
      <c r="G50" s="4" t="s">
        <v>91</v>
      </c>
      <c r="H50" s="4">
        <v>8</v>
      </c>
      <c r="I50" s="4">
        <v>0</v>
      </c>
      <c r="J50" s="4">
        <v>0</v>
      </c>
      <c r="K50" s="4">
        <v>0</v>
      </c>
      <c r="L50" s="15">
        <f t="shared" si="18"/>
        <v>0</v>
      </c>
      <c r="M50" s="25" t="str">
        <f t="shared" si="19"/>
        <v/>
      </c>
      <c r="N50" s="27"/>
    </row>
    <row r="51" spans="1:14" ht="15.6">
      <c r="A51" s="4"/>
      <c r="B51" s="4"/>
      <c r="C51" s="5"/>
      <c r="D51" s="36"/>
      <c r="E51" s="6"/>
      <c r="F51" s="7" t="s">
        <v>32</v>
      </c>
      <c r="G51" s="7">
        <v>9</v>
      </c>
      <c r="H51" s="7">
        <f t="shared" ref="H51:L51" si="21">SUM(H42:H50)</f>
        <v>59</v>
      </c>
      <c r="I51" s="7">
        <f t="shared" si="21"/>
        <v>20</v>
      </c>
      <c r="J51" s="7">
        <f t="shared" si="21"/>
        <v>0</v>
      </c>
      <c r="K51" s="7">
        <f t="shared" si="21"/>
        <v>0</v>
      </c>
      <c r="L51" s="7">
        <f t="shared" si="21"/>
        <v>20</v>
      </c>
      <c r="M51" s="25"/>
      <c r="N51" s="27"/>
    </row>
    <row r="52" spans="1:14">
      <c r="A52" s="4" t="s">
        <v>851</v>
      </c>
      <c r="B52" s="4" t="s">
        <v>797</v>
      </c>
      <c r="C52" s="5">
        <f>C50+1</f>
        <v>44</v>
      </c>
      <c r="D52" s="36"/>
      <c r="E52" s="32" t="s">
        <v>92</v>
      </c>
      <c r="F52" s="5" t="s">
        <v>10</v>
      </c>
      <c r="G52" s="5" t="s">
        <v>93</v>
      </c>
      <c r="H52" s="4">
        <v>2</v>
      </c>
      <c r="I52" s="4">
        <v>2</v>
      </c>
      <c r="J52" s="4">
        <v>0</v>
      </c>
      <c r="K52" s="4">
        <v>0</v>
      </c>
      <c r="L52" s="15">
        <f t="shared" ref="L52:L59" si="22">I52+J52+K52</f>
        <v>2</v>
      </c>
      <c r="M52" s="25" t="str">
        <f t="shared" ref="M52:M59" si="23">IFERROR(IF(TEXT(DATEVALUE(SUBSTITUTE(TRIM(MID($H$2,FIND("on",$H$2)+3,99)),"'","-")),"dddd")=B52,"Week Off",IF(H52="","",IF($H52=0,"Case Not Received",""))),"")</f>
        <v/>
      </c>
      <c r="N52" s="28">
        <f>(COUNTIF(I52:I59,"0"))/8</f>
        <v>0.125</v>
      </c>
    </row>
    <row r="53" spans="1:14">
      <c r="A53" s="4" t="s">
        <v>852</v>
      </c>
      <c r="B53" s="4" t="s">
        <v>800</v>
      </c>
      <c r="C53" s="5">
        <f t="shared" ref="C53:C59" si="24">C52+1</f>
        <v>45</v>
      </c>
      <c r="D53" s="36"/>
      <c r="E53" s="32"/>
      <c r="F53" s="5" t="s">
        <v>94</v>
      </c>
      <c r="G53" s="5" t="s">
        <v>95</v>
      </c>
      <c r="H53" s="4">
        <v>5</v>
      </c>
      <c r="I53" s="4">
        <v>4</v>
      </c>
      <c r="J53" s="4">
        <v>0</v>
      </c>
      <c r="K53" s="4">
        <v>0</v>
      </c>
      <c r="L53" s="15">
        <f t="shared" si="22"/>
        <v>4</v>
      </c>
      <c r="M53" s="25" t="str">
        <f t="shared" si="23"/>
        <v/>
      </c>
      <c r="N53" s="28"/>
    </row>
    <row r="54" spans="1:14">
      <c r="A54" s="4" t="s">
        <v>853</v>
      </c>
      <c r="B54" s="4" t="s">
        <v>801</v>
      </c>
      <c r="C54" s="5">
        <f t="shared" si="24"/>
        <v>46</v>
      </c>
      <c r="D54" s="36"/>
      <c r="E54" s="32"/>
      <c r="F54" s="5" t="s">
        <v>94</v>
      </c>
      <c r="G54" s="5" t="s">
        <v>96</v>
      </c>
      <c r="H54" s="4">
        <v>13</v>
      </c>
      <c r="I54" s="4">
        <v>7</v>
      </c>
      <c r="J54" s="4">
        <v>0</v>
      </c>
      <c r="K54" s="4">
        <v>0</v>
      </c>
      <c r="L54" s="15">
        <f t="shared" si="22"/>
        <v>7</v>
      </c>
      <c r="M54" s="25" t="str">
        <f t="shared" si="23"/>
        <v/>
      </c>
      <c r="N54" s="28"/>
    </row>
    <row r="55" spans="1:14">
      <c r="A55" s="4" t="s">
        <v>854</v>
      </c>
      <c r="B55" s="4" t="s">
        <v>799</v>
      </c>
      <c r="C55" s="5">
        <f t="shared" si="24"/>
        <v>47</v>
      </c>
      <c r="D55" s="36"/>
      <c r="E55" s="32"/>
      <c r="F55" s="5" t="s">
        <v>97</v>
      </c>
      <c r="G55" s="5" t="s">
        <v>98</v>
      </c>
      <c r="H55" s="4">
        <v>5</v>
      </c>
      <c r="I55" s="4">
        <v>2</v>
      </c>
      <c r="J55" s="4">
        <v>0</v>
      </c>
      <c r="K55" s="4">
        <v>0</v>
      </c>
      <c r="L55" s="15">
        <f t="shared" si="22"/>
        <v>2</v>
      </c>
      <c r="M55" s="25" t="str">
        <f t="shared" si="23"/>
        <v/>
      </c>
      <c r="N55" s="28"/>
    </row>
    <row r="56" spans="1:14">
      <c r="A56" s="4" t="s">
        <v>855</v>
      </c>
      <c r="B56" s="4" t="s">
        <v>799</v>
      </c>
      <c r="C56" s="5">
        <f t="shared" si="24"/>
        <v>48</v>
      </c>
      <c r="D56" s="36"/>
      <c r="E56" s="32"/>
      <c r="F56" s="5" t="s">
        <v>99</v>
      </c>
      <c r="G56" s="5" t="s">
        <v>100</v>
      </c>
      <c r="H56" s="4">
        <v>5</v>
      </c>
      <c r="I56" s="4">
        <v>3</v>
      </c>
      <c r="J56" s="4">
        <v>0</v>
      </c>
      <c r="K56" s="4">
        <v>0</v>
      </c>
      <c r="L56" s="15">
        <f t="shared" si="22"/>
        <v>3</v>
      </c>
      <c r="M56" s="25" t="str">
        <f t="shared" si="23"/>
        <v/>
      </c>
      <c r="N56" s="28"/>
    </row>
    <row r="57" spans="1:14">
      <c r="A57" s="4" t="s">
        <v>856</v>
      </c>
      <c r="B57" s="4" t="s">
        <v>797</v>
      </c>
      <c r="C57" s="5">
        <f t="shared" si="24"/>
        <v>49</v>
      </c>
      <c r="D57" s="36"/>
      <c r="E57" s="32"/>
      <c r="F57" s="5" t="s">
        <v>101</v>
      </c>
      <c r="G57" s="5" t="s">
        <v>102</v>
      </c>
      <c r="H57" s="4">
        <v>9</v>
      </c>
      <c r="I57" s="4">
        <v>1</v>
      </c>
      <c r="J57" s="4">
        <v>0</v>
      </c>
      <c r="K57" s="4">
        <v>0</v>
      </c>
      <c r="L57" s="15">
        <f t="shared" si="22"/>
        <v>1</v>
      </c>
      <c r="M57" s="25" t="str">
        <f t="shared" si="23"/>
        <v/>
      </c>
      <c r="N57" s="28"/>
    </row>
    <row r="58" spans="1:14">
      <c r="A58" s="4" t="s">
        <v>857</v>
      </c>
      <c r="B58" s="4" t="s">
        <v>798</v>
      </c>
      <c r="C58" s="5">
        <f t="shared" si="24"/>
        <v>50</v>
      </c>
      <c r="D58" s="36"/>
      <c r="E58" s="32"/>
      <c r="F58" s="5" t="s">
        <v>103</v>
      </c>
      <c r="G58" s="5" t="s">
        <v>104</v>
      </c>
      <c r="H58" s="4">
        <v>2</v>
      </c>
      <c r="I58" s="4">
        <v>0</v>
      </c>
      <c r="J58" s="4">
        <v>0</v>
      </c>
      <c r="K58" s="4">
        <v>0</v>
      </c>
      <c r="L58" s="15">
        <f t="shared" si="22"/>
        <v>0</v>
      </c>
      <c r="M58" s="25" t="str">
        <f t="shared" si="23"/>
        <v>Week Off</v>
      </c>
      <c r="N58" s="28"/>
    </row>
    <row r="59" spans="1:14">
      <c r="A59" s="4" t="s">
        <v>858</v>
      </c>
      <c r="B59" s="4" t="s">
        <v>803</v>
      </c>
      <c r="C59" s="5">
        <f t="shared" si="24"/>
        <v>51</v>
      </c>
      <c r="D59" s="36"/>
      <c r="E59" s="32"/>
      <c r="F59" s="5" t="s">
        <v>103</v>
      </c>
      <c r="G59" s="5" t="s">
        <v>105</v>
      </c>
      <c r="H59" s="4">
        <v>5</v>
      </c>
      <c r="I59" s="4">
        <v>3</v>
      </c>
      <c r="J59" s="4">
        <v>0</v>
      </c>
      <c r="K59" s="4">
        <v>0</v>
      </c>
      <c r="L59" s="15">
        <f t="shared" si="22"/>
        <v>3</v>
      </c>
      <c r="M59" s="25" t="str">
        <f t="shared" si="23"/>
        <v/>
      </c>
      <c r="N59" s="28"/>
    </row>
    <row r="60" spans="1:14" ht="15.6">
      <c r="A60" s="4"/>
      <c r="B60" s="4"/>
      <c r="C60" s="5"/>
      <c r="D60" s="36"/>
      <c r="E60" s="6"/>
      <c r="F60" s="7" t="s">
        <v>32</v>
      </c>
      <c r="G60" s="7">
        <v>8</v>
      </c>
      <c r="H60" s="7">
        <f t="shared" ref="H60:L60" si="25">SUM(H52:H59)</f>
        <v>46</v>
      </c>
      <c r="I60" s="7">
        <f t="shared" si="25"/>
        <v>22</v>
      </c>
      <c r="J60" s="7">
        <f t="shared" si="25"/>
        <v>0</v>
      </c>
      <c r="K60" s="7">
        <f t="shared" si="25"/>
        <v>0</v>
      </c>
      <c r="L60" s="7">
        <f t="shared" si="25"/>
        <v>22</v>
      </c>
      <c r="M60" s="25"/>
      <c r="N60" s="28"/>
    </row>
    <row r="61" spans="1:14">
      <c r="A61" s="4" t="s">
        <v>859</v>
      </c>
      <c r="B61" s="4">
        <v>0</v>
      </c>
      <c r="C61" s="5">
        <f>C59+1</f>
        <v>52</v>
      </c>
      <c r="D61" s="36"/>
      <c r="E61" s="32" t="s">
        <v>106</v>
      </c>
      <c r="F61" s="4" t="s">
        <v>10</v>
      </c>
      <c r="G61" s="4" t="s">
        <v>107</v>
      </c>
      <c r="H61" s="4">
        <v>2</v>
      </c>
      <c r="I61" s="4">
        <v>2</v>
      </c>
      <c r="J61" s="4">
        <v>0</v>
      </c>
      <c r="K61" s="4">
        <v>0</v>
      </c>
      <c r="L61" s="15">
        <f t="shared" ref="L61:L68" si="26">I61+J61+K61</f>
        <v>2</v>
      </c>
      <c r="M61" s="25" t="str">
        <f t="shared" ref="M61:M68" si="27">IFERROR(IF(TEXT(DATEVALUE(SUBSTITUTE(TRIM(MID($H$2,FIND("on",$H$2)+3,99)),"'","-")),"dddd")=B61,"Week Off",IF(H61="","",IF($H61=0,"Case Not Received",""))),"")</f>
        <v/>
      </c>
      <c r="N61" s="27">
        <f>(COUNTIF(I61:I68,"0"))/8</f>
        <v>0.125</v>
      </c>
    </row>
    <row r="62" spans="1:14">
      <c r="A62" s="4" t="s">
        <v>860</v>
      </c>
      <c r="B62" s="4">
        <v>0</v>
      </c>
      <c r="C62" s="5">
        <f t="shared" ref="C62:C68" si="28">C61+1</f>
        <v>53</v>
      </c>
      <c r="D62" s="36"/>
      <c r="E62" s="32"/>
      <c r="F62" s="4" t="s">
        <v>796</v>
      </c>
      <c r="G62" s="4" t="s">
        <v>108</v>
      </c>
      <c r="H62" s="4">
        <v>9</v>
      </c>
      <c r="I62" s="4">
        <v>0</v>
      </c>
      <c r="J62" s="4">
        <v>0</v>
      </c>
      <c r="K62" s="4">
        <v>0</v>
      </c>
      <c r="L62" s="15">
        <f t="shared" si="26"/>
        <v>0</v>
      </c>
      <c r="M62" s="25" t="str">
        <f t="shared" si="27"/>
        <v/>
      </c>
      <c r="N62" s="27"/>
    </row>
    <row r="63" spans="1:14">
      <c r="A63" s="4" t="s">
        <v>861</v>
      </c>
      <c r="B63" s="4">
        <v>0</v>
      </c>
      <c r="C63" s="5">
        <f t="shared" si="28"/>
        <v>54</v>
      </c>
      <c r="D63" s="36"/>
      <c r="E63" s="32"/>
      <c r="F63" s="4" t="s">
        <v>109</v>
      </c>
      <c r="G63" s="4" t="s">
        <v>110</v>
      </c>
      <c r="H63" s="4">
        <v>9</v>
      </c>
      <c r="I63" s="4">
        <v>1</v>
      </c>
      <c r="J63" s="4">
        <v>0</v>
      </c>
      <c r="K63" s="4">
        <v>0</v>
      </c>
      <c r="L63" s="15">
        <f t="shared" si="26"/>
        <v>1</v>
      </c>
      <c r="M63" s="25" t="str">
        <f t="shared" si="27"/>
        <v/>
      </c>
      <c r="N63" s="27"/>
    </row>
    <row r="64" spans="1:14">
      <c r="A64" s="4" t="s">
        <v>862</v>
      </c>
      <c r="B64" s="4">
        <v>0</v>
      </c>
      <c r="C64" s="5">
        <f t="shared" si="28"/>
        <v>55</v>
      </c>
      <c r="D64" s="36"/>
      <c r="E64" s="32"/>
      <c r="F64" s="4" t="s">
        <v>111</v>
      </c>
      <c r="G64" s="4" t="s">
        <v>112</v>
      </c>
      <c r="H64" s="4">
        <v>9</v>
      </c>
      <c r="I64" s="4">
        <v>6</v>
      </c>
      <c r="J64" s="4">
        <v>0</v>
      </c>
      <c r="K64" s="4">
        <v>0</v>
      </c>
      <c r="L64" s="15">
        <f t="shared" si="26"/>
        <v>6</v>
      </c>
      <c r="M64" s="25" t="str">
        <f t="shared" si="27"/>
        <v/>
      </c>
      <c r="N64" s="27"/>
    </row>
    <row r="65" spans="1:14">
      <c r="A65" s="4" t="s">
        <v>863</v>
      </c>
      <c r="B65" s="4">
        <v>0</v>
      </c>
      <c r="C65" s="5">
        <f t="shared" si="28"/>
        <v>56</v>
      </c>
      <c r="D65" s="36"/>
      <c r="E65" s="32"/>
      <c r="F65" s="4" t="s">
        <v>113</v>
      </c>
      <c r="G65" s="4" t="s">
        <v>114</v>
      </c>
      <c r="H65" s="4">
        <v>10</v>
      </c>
      <c r="I65" s="4">
        <v>4</v>
      </c>
      <c r="J65" s="4">
        <v>0</v>
      </c>
      <c r="K65" s="4">
        <v>0</v>
      </c>
      <c r="L65" s="15">
        <f t="shared" si="26"/>
        <v>4</v>
      </c>
      <c r="M65" s="25" t="str">
        <f t="shared" si="27"/>
        <v/>
      </c>
      <c r="N65" s="27"/>
    </row>
    <row r="66" spans="1:14">
      <c r="A66" s="4" t="s">
        <v>864</v>
      </c>
      <c r="B66" s="4">
        <v>0</v>
      </c>
      <c r="C66" s="5">
        <f t="shared" si="28"/>
        <v>57</v>
      </c>
      <c r="D66" s="36"/>
      <c r="E66" s="32"/>
      <c r="F66" s="4" t="s">
        <v>115</v>
      </c>
      <c r="G66" s="4" t="s">
        <v>116</v>
      </c>
      <c r="H66" s="4">
        <v>7</v>
      </c>
      <c r="I66" s="4">
        <v>1</v>
      </c>
      <c r="J66" s="4">
        <v>0</v>
      </c>
      <c r="K66" s="4">
        <v>0</v>
      </c>
      <c r="L66" s="15">
        <f t="shared" si="26"/>
        <v>1</v>
      </c>
      <c r="M66" s="25" t="str">
        <f t="shared" si="27"/>
        <v/>
      </c>
      <c r="N66" s="27"/>
    </row>
    <row r="67" spans="1:14">
      <c r="A67" s="4" t="s">
        <v>865</v>
      </c>
      <c r="B67" s="4">
        <v>0</v>
      </c>
      <c r="C67" s="5">
        <f t="shared" si="28"/>
        <v>58</v>
      </c>
      <c r="D67" s="36"/>
      <c r="E67" s="32"/>
      <c r="F67" s="4" t="s">
        <v>117</v>
      </c>
      <c r="G67" s="4" t="s">
        <v>118</v>
      </c>
      <c r="H67" s="4">
        <v>20</v>
      </c>
      <c r="I67" s="4">
        <v>1</v>
      </c>
      <c r="J67" s="4">
        <v>0</v>
      </c>
      <c r="K67" s="4">
        <v>0</v>
      </c>
      <c r="L67" s="15">
        <f t="shared" si="26"/>
        <v>1</v>
      </c>
      <c r="M67" s="25" t="str">
        <f t="shared" si="27"/>
        <v/>
      </c>
      <c r="N67" s="27"/>
    </row>
    <row r="68" spans="1:14">
      <c r="A68" s="4" t="s">
        <v>1011</v>
      </c>
      <c r="B68" s="4">
        <v>0</v>
      </c>
      <c r="C68" s="5">
        <f t="shared" si="28"/>
        <v>59</v>
      </c>
      <c r="D68" s="36"/>
      <c r="E68" s="32"/>
      <c r="F68" s="4" t="s">
        <v>119</v>
      </c>
      <c r="G68" s="4" t="s">
        <v>120</v>
      </c>
      <c r="H68" s="4">
        <v>14</v>
      </c>
      <c r="I68" s="4">
        <v>4</v>
      </c>
      <c r="J68" s="4">
        <v>0</v>
      </c>
      <c r="K68" s="4">
        <v>0</v>
      </c>
      <c r="L68" s="15">
        <f t="shared" si="26"/>
        <v>4</v>
      </c>
      <c r="M68" s="25" t="str">
        <f t="shared" si="27"/>
        <v/>
      </c>
      <c r="N68" s="27"/>
    </row>
    <row r="69" spans="1:14" ht="28.8">
      <c r="A69" s="4"/>
      <c r="B69" s="4"/>
      <c r="C69" s="5"/>
      <c r="D69" s="18"/>
      <c r="E69" s="6"/>
      <c r="F69" s="7" t="s">
        <v>32</v>
      </c>
      <c r="G69" s="7">
        <v>8</v>
      </c>
      <c r="H69" s="7">
        <f t="shared" ref="H69:L69" si="29">SUM(H61:H68)</f>
        <v>80</v>
      </c>
      <c r="I69" s="7">
        <f t="shared" si="29"/>
        <v>19</v>
      </c>
      <c r="J69" s="7">
        <f t="shared" si="29"/>
        <v>0</v>
      </c>
      <c r="K69" s="7">
        <f t="shared" si="29"/>
        <v>0</v>
      </c>
      <c r="L69" s="7">
        <f t="shared" si="29"/>
        <v>19</v>
      </c>
      <c r="M69" s="25"/>
      <c r="N69" s="27"/>
    </row>
    <row r="70" spans="1:14" ht="28.8">
      <c r="A70" s="4"/>
      <c r="B70" s="4"/>
      <c r="C70" s="5"/>
      <c r="D70" s="18"/>
      <c r="E70" s="8"/>
      <c r="F70" s="9" t="s">
        <v>121</v>
      </c>
      <c r="G70" s="9">
        <v>59</v>
      </c>
      <c r="H70" s="16">
        <f t="shared" ref="H70:L70" si="30">SUM(H69,H60,H51,H41,H32,H23,H18,H14)</f>
        <v>450</v>
      </c>
      <c r="I70" s="16">
        <f t="shared" si="30"/>
        <v>216</v>
      </c>
      <c r="J70" s="16">
        <f t="shared" si="30"/>
        <v>0</v>
      </c>
      <c r="K70" s="16">
        <f t="shared" si="30"/>
        <v>0</v>
      </c>
      <c r="L70" s="16">
        <f t="shared" si="30"/>
        <v>216</v>
      </c>
      <c r="M70" s="25"/>
      <c r="N70" s="27">
        <f>(COUNTIF(I71:I75,"0"))/5</f>
        <v>0.2</v>
      </c>
    </row>
    <row r="71" spans="1:14">
      <c r="A71" s="4" t="s">
        <v>867</v>
      </c>
      <c r="B71" s="4" t="s">
        <v>803</v>
      </c>
      <c r="C71" s="5">
        <f>C68+1</f>
        <v>60</v>
      </c>
      <c r="D71" s="31" t="s">
        <v>122</v>
      </c>
      <c r="E71" s="37" t="s">
        <v>123</v>
      </c>
      <c r="F71" s="5" t="s">
        <v>10</v>
      </c>
      <c r="G71" s="5" t="s">
        <v>124</v>
      </c>
      <c r="H71" s="4">
        <v>4</v>
      </c>
      <c r="I71" s="4">
        <v>4</v>
      </c>
      <c r="J71" s="4">
        <v>0</v>
      </c>
      <c r="K71" s="4">
        <v>0</v>
      </c>
      <c r="L71" s="15">
        <f t="shared" ref="L71:L75" si="31">I71+J71+K71</f>
        <v>4</v>
      </c>
      <c r="M71" s="25" t="str">
        <f t="shared" ref="M71:M75" si="32">IFERROR(IF(TEXT(DATEVALUE(SUBSTITUTE(TRIM(MID($H$2,FIND("on",$H$2)+3,99)),"'","-")),"dddd")=B71,"Week Off",IF(H71="","",IF($H71=0,"Case Not Received",""))),"")</f>
        <v/>
      </c>
      <c r="N71" s="27"/>
    </row>
    <row r="72" spans="1:14">
      <c r="A72" s="4" t="s">
        <v>868</v>
      </c>
      <c r="B72" s="4" t="s">
        <v>799</v>
      </c>
      <c r="C72" s="5">
        <f t="shared" ref="C72:C75" si="33">C71+1</f>
        <v>61</v>
      </c>
      <c r="D72" s="31"/>
      <c r="E72" s="37"/>
      <c r="F72" s="5" t="s">
        <v>125</v>
      </c>
      <c r="G72" s="5" t="s">
        <v>126</v>
      </c>
      <c r="H72" s="4">
        <v>16</v>
      </c>
      <c r="I72" s="4">
        <v>7</v>
      </c>
      <c r="J72" s="4">
        <v>0</v>
      </c>
      <c r="K72" s="4">
        <v>0</v>
      </c>
      <c r="L72" s="15">
        <f t="shared" si="31"/>
        <v>7</v>
      </c>
      <c r="M72" s="25" t="str">
        <f t="shared" si="32"/>
        <v/>
      </c>
      <c r="N72" s="27"/>
    </row>
    <row r="73" spans="1:14">
      <c r="A73" s="4" t="s">
        <v>869</v>
      </c>
      <c r="B73" s="4" t="s">
        <v>798</v>
      </c>
      <c r="C73" s="5">
        <f t="shared" si="33"/>
        <v>62</v>
      </c>
      <c r="D73" s="31"/>
      <c r="E73" s="37"/>
      <c r="F73" s="5" t="s">
        <v>127</v>
      </c>
      <c r="G73" s="5" t="s">
        <v>128</v>
      </c>
      <c r="H73" s="4">
        <v>11</v>
      </c>
      <c r="I73" s="4">
        <v>0</v>
      </c>
      <c r="J73" s="4">
        <v>0</v>
      </c>
      <c r="K73" s="4">
        <v>0</v>
      </c>
      <c r="L73" s="15">
        <f t="shared" si="31"/>
        <v>0</v>
      </c>
      <c r="M73" s="25" t="str">
        <f t="shared" si="32"/>
        <v>Week Off</v>
      </c>
      <c r="N73" s="27"/>
    </row>
    <row r="74" spans="1:14">
      <c r="A74" s="4" t="s">
        <v>870</v>
      </c>
      <c r="B74" s="4" t="s">
        <v>800</v>
      </c>
      <c r="C74" s="5">
        <f t="shared" si="33"/>
        <v>63</v>
      </c>
      <c r="D74" s="31"/>
      <c r="E74" s="37"/>
      <c r="F74" s="5" t="s">
        <v>129</v>
      </c>
      <c r="G74" s="5" t="s">
        <v>130</v>
      </c>
      <c r="H74" s="4">
        <v>14</v>
      </c>
      <c r="I74" s="4">
        <v>7</v>
      </c>
      <c r="J74" s="4">
        <v>0</v>
      </c>
      <c r="K74" s="4">
        <v>0</v>
      </c>
      <c r="L74" s="15">
        <f t="shared" si="31"/>
        <v>7</v>
      </c>
      <c r="M74" s="25" t="str">
        <f t="shared" si="32"/>
        <v/>
      </c>
      <c r="N74" s="27"/>
    </row>
    <row r="75" spans="1:14">
      <c r="A75" s="4" t="s">
        <v>871</v>
      </c>
      <c r="B75" s="4" t="s">
        <v>797</v>
      </c>
      <c r="C75" s="5">
        <f t="shared" si="33"/>
        <v>64</v>
      </c>
      <c r="D75" s="31"/>
      <c r="E75" s="37"/>
      <c r="F75" s="5" t="s">
        <v>131</v>
      </c>
      <c r="G75" s="5" t="s">
        <v>132</v>
      </c>
      <c r="H75" s="4">
        <v>20</v>
      </c>
      <c r="I75" s="4">
        <v>7</v>
      </c>
      <c r="J75" s="4">
        <v>0</v>
      </c>
      <c r="K75" s="4">
        <v>0</v>
      </c>
      <c r="L75" s="15">
        <f t="shared" si="31"/>
        <v>7</v>
      </c>
      <c r="M75" s="25" t="str">
        <f t="shared" si="32"/>
        <v/>
      </c>
      <c r="N75" s="27"/>
    </row>
    <row r="76" spans="1:14" ht="15.6">
      <c r="A76" s="4"/>
      <c r="B76" s="4"/>
      <c r="C76" s="5"/>
      <c r="D76" s="31"/>
      <c r="E76" s="6"/>
      <c r="F76" s="7" t="s">
        <v>32</v>
      </c>
      <c r="G76" s="7">
        <v>5</v>
      </c>
      <c r="H76" s="7">
        <f t="shared" ref="H76:L76" si="34">SUM(H71:H75)</f>
        <v>65</v>
      </c>
      <c r="I76" s="7">
        <f t="shared" si="34"/>
        <v>25</v>
      </c>
      <c r="J76" s="7">
        <f t="shared" si="34"/>
        <v>0</v>
      </c>
      <c r="K76" s="7">
        <f t="shared" si="34"/>
        <v>0</v>
      </c>
      <c r="L76" s="7">
        <f t="shared" si="34"/>
        <v>25</v>
      </c>
      <c r="M76" s="25"/>
      <c r="N76" s="27"/>
    </row>
    <row r="77" spans="1:14">
      <c r="A77" s="4" t="s">
        <v>873</v>
      </c>
      <c r="B77" s="4" t="s">
        <v>802</v>
      </c>
      <c r="C77" s="5">
        <f>C75+1</f>
        <v>65</v>
      </c>
      <c r="D77" s="31"/>
      <c r="E77" s="32" t="s">
        <v>133</v>
      </c>
      <c r="F77" s="5" t="s">
        <v>10</v>
      </c>
      <c r="G77" s="5" t="s">
        <v>134</v>
      </c>
      <c r="H77" s="4">
        <v>14</v>
      </c>
      <c r="I77" s="4">
        <v>11</v>
      </c>
      <c r="J77" s="4">
        <v>0</v>
      </c>
      <c r="K77" s="4">
        <v>0</v>
      </c>
      <c r="L77" s="15">
        <f t="shared" ref="L77:L84" si="35">I77+J77+K77</f>
        <v>11</v>
      </c>
      <c r="M77" s="25" t="str">
        <f t="shared" ref="M77:M84" si="36">IFERROR(IF(TEXT(DATEVALUE(SUBSTITUTE(TRIM(MID($H$2,FIND("on",$H$2)+3,99)),"'","-")),"dddd")=B77,"Week Off",IF(H77="","",IF($H77=0,"Case Not Received",""))),"")</f>
        <v/>
      </c>
      <c r="N77" s="28">
        <f>(COUNTIF(I77:I84,"0"))/8</f>
        <v>0.125</v>
      </c>
    </row>
    <row r="78" spans="1:14">
      <c r="A78" s="24" t="s">
        <v>1211</v>
      </c>
      <c r="B78" s="4" t="s">
        <v>798</v>
      </c>
      <c r="C78" s="5">
        <f t="shared" ref="C78:C84" si="37">C77+1</f>
        <v>66</v>
      </c>
      <c r="D78" s="31"/>
      <c r="E78" s="32"/>
      <c r="F78" s="5" t="s">
        <v>135</v>
      </c>
      <c r="G78" s="5" t="s">
        <v>136</v>
      </c>
      <c r="H78" s="4">
        <v>26</v>
      </c>
      <c r="I78" s="4">
        <v>0</v>
      </c>
      <c r="J78" s="4">
        <v>0</v>
      </c>
      <c r="K78" s="4">
        <v>0</v>
      </c>
      <c r="L78" s="15">
        <f t="shared" si="35"/>
        <v>0</v>
      </c>
      <c r="M78" s="25" t="str">
        <f t="shared" si="36"/>
        <v>Week Off</v>
      </c>
      <c r="N78" s="28"/>
    </row>
    <row r="79" spans="1:14">
      <c r="A79" s="4" t="s">
        <v>872</v>
      </c>
      <c r="B79" s="4" t="s">
        <v>803</v>
      </c>
      <c r="C79" s="5">
        <f t="shared" si="37"/>
        <v>67</v>
      </c>
      <c r="D79" s="31"/>
      <c r="E79" s="32"/>
      <c r="F79" s="5" t="s">
        <v>137</v>
      </c>
      <c r="G79" s="5" t="s">
        <v>138</v>
      </c>
      <c r="H79" s="4">
        <v>35</v>
      </c>
      <c r="I79" s="4">
        <v>11</v>
      </c>
      <c r="J79" s="4">
        <v>0</v>
      </c>
      <c r="K79" s="4">
        <v>0</v>
      </c>
      <c r="L79" s="15">
        <f t="shared" si="35"/>
        <v>11</v>
      </c>
      <c r="M79" s="25" t="str">
        <f t="shared" si="36"/>
        <v/>
      </c>
      <c r="N79" s="28"/>
    </row>
    <row r="80" spans="1:14">
      <c r="A80" s="4" t="s">
        <v>874</v>
      </c>
      <c r="B80" s="4" t="s">
        <v>802</v>
      </c>
      <c r="C80" s="5">
        <f t="shared" si="37"/>
        <v>68</v>
      </c>
      <c r="D80" s="31"/>
      <c r="E80" s="32"/>
      <c r="F80" s="5" t="s">
        <v>139</v>
      </c>
      <c r="G80" s="5" t="s">
        <v>140</v>
      </c>
      <c r="H80" s="4">
        <v>19</v>
      </c>
      <c r="I80" s="4">
        <v>2</v>
      </c>
      <c r="J80" s="4">
        <v>0</v>
      </c>
      <c r="K80" s="4">
        <v>0</v>
      </c>
      <c r="L80" s="15">
        <f t="shared" si="35"/>
        <v>2</v>
      </c>
      <c r="M80" s="25" t="str">
        <f t="shared" si="36"/>
        <v/>
      </c>
      <c r="N80" s="28"/>
    </row>
    <row r="81" spans="1:14">
      <c r="A81" s="4" t="s">
        <v>875</v>
      </c>
      <c r="B81" s="4" t="s">
        <v>803</v>
      </c>
      <c r="C81" s="5">
        <f t="shared" si="37"/>
        <v>69</v>
      </c>
      <c r="D81" s="31"/>
      <c r="E81" s="32"/>
      <c r="F81" s="5" t="s">
        <v>141</v>
      </c>
      <c r="G81" s="5" t="s">
        <v>142</v>
      </c>
      <c r="H81" s="4">
        <v>27</v>
      </c>
      <c r="I81" s="4">
        <v>8</v>
      </c>
      <c r="J81" s="4">
        <v>0</v>
      </c>
      <c r="K81" s="4">
        <v>0</v>
      </c>
      <c r="L81" s="15">
        <f t="shared" si="35"/>
        <v>8</v>
      </c>
      <c r="M81" s="25" t="str">
        <f t="shared" si="36"/>
        <v/>
      </c>
      <c r="N81" s="28"/>
    </row>
    <row r="82" spans="1:14">
      <c r="A82" s="4" t="s">
        <v>876</v>
      </c>
      <c r="B82" s="4" t="s">
        <v>801</v>
      </c>
      <c r="C82" s="5">
        <f t="shared" si="37"/>
        <v>70</v>
      </c>
      <c r="D82" s="31"/>
      <c r="E82" s="32"/>
      <c r="F82" s="5" t="s">
        <v>143</v>
      </c>
      <c r="G82" s="5" t="s">
        <v>144</v>
      </c>
      <c r="H82" s="4">
        <v>22</v>
      </c>
      <c r="I82" s="4">
        <v>11</v>
      </c>
      <c r="J82" s="4">
        <v>0</v>
      </c>
      <c r="K82" s="4">
        <v>0</v>
      </c>
      <c r="L82" s="15">
        <f t="shared" si="35"/>
        <v>11</v>
      </c>
      <c r="M82" s="25" t="str">
        <f t="shared" si="36"/>
        <v/>
      </c>
      <c r="N82" s="28"/>
    </row>
    <row r="83" spans="1:14">
      <c r="A83" s="4" t="s">
        <v>877</v>
      </c>
      <c r="B83" s="4" t="s">
        <v>799</v>
      </c>
      <c r="C83" s="5">
        <f t="shared" si="37"/>
        <v>71</v>
      </c>
      <c r="D83" s="31"/>
      <c r="E83" s="32"/>
      <c r="F83" s="5" t="s">
        <v>145</v>
      </c>
      <c r="G83" s="5" t="s">
        <v>146</v>
      </c>
      <c r="H83" s="4">
        <v>41</v>
      </c>
      <c r="I83" s="4">
        <v>19</v>
      </c>
      <c r="J83" s="4">
        <v>0</v>
      </c>
      <c r="K83" s="4">
        <v>0</v>
      </c>
      <c r="L83" s="15">
        <f t="shared" si="35"/>
        <v>19</v>
      </c>
      <c r="M83" s="25" t="str">
        <f t="shared" si="36"/>
        <v/>
      </c>
      <c r="N83" s="28"/>
    </row>
    <row r="84" spans="1:14">
      <c r="A84" s="4" t="s">
        <v>878</v>
      </c>
      <c r="B84" s="4" t="s">
        <v>800</v>
      </c>
      <c r="C84" s="5">
        <f t="shared" si="37"/>
        <v>72</v>
      </c>
      <c r="D84" s="31"/>
      <c r="E84" s="32"/>
      <c r="F84" s="5" t="s">
        <v>147</v>
      </c>
      <c r="G84" s="5" t="s">
        <v>148</v>
      </c>
      <c r="H84" s="4">
        <v>17</v>
      </c>
      <c r="I84" s="4">
        <v>8</v>
      </c>
      <c r="J84" s="4">
        <v>0</v>
      </c>
      <c r="K84" s="4">
        <v>0</v>
      </c>
      <c r="L84" s="15">
        <f t="shared" si="35"/>
        <v>8</v>
      </c>
      <c r="M84" s="25" t="str">
        <f t="shared" si="36"/>
        <v/>
      </c>
      <c r="N84" s="28"/>
    </row>
    <row r="85" spans="1:14" ht="15.6">
      <c r="A85" s="4"/>
      <c r="B85" s="4"/>
      <c r="C85" s="5"/>
      <c r="D85" s="31"/>
      <c r="E85" s="6"/>
      <c r="F85" s="7" t="s">
        <v>32</v>
      </c>
      <c r="G85" s="7">
        <v>8</v>
      </c>
      <c r="H85" s="7">
        <f t="shared" ref="H85:L85" si="38">SUM(H77:H84)</f>
        <v>201</v>
      </c>
      <c r="I85" s="7">
        <f t="shared" si="38"/>
        <v>70</v>
      </c>
      <c r="J85" s="7">
        <f t="shared" si="38"/>
        <v>0</v>
      </c>
      <c r="K85" s="7">
        <f t="shared" si="38"/>
        <v>0</v>
      </c>
      <c r="L85" s="7">
        <f t="shared" si="38"/>
        <v>70</v>
      </c>
      <c r="M85" s="25"/>
      <c r="N85" s="28"/>
    </row>
    <row r="86" spans="1:14">
      <c r="A86" s="4" t="s">
        <v>879</v>
      </c>
      <c r="B86" s="4" t="s">
        <v>798</v>
      </c>
      <c r="C86" s="5">
        <f>C84+1</f>
        <v>73</v>
      </c>
      <c r="D86" s="31"/>
      <c r="E86" s="32" t="s">
        <v>149</v>
      </c>
      <c r="F86" s="5" t="s">
        <v>10</v>
      </c>
      <c r="G86" s="5" t="s">
        <v>150</v>
      </c>
      <c r="H86" s="4">
        <v>17</v>
      </c>
      <c r="I86" s="4">
        <v>2</v>
      </c>
      <c r="J86" s="4">
        <v>0</v>
      </c>
      <c r="K86" s="4">
        <v>0</v>
      </c>
      <c r="L86" s="15">
        <f t="shared" ref="L86:L89" si="39">I86+J86+K86</f>
        <v>2</v>
      </c>
      <c r="M86" s="25" t="str">
        <f t="shared" ref="M86:M89" si="40">IFERROR(IF(TEXT(DATEVALUE(SUBSTITUTE(TRIM(MID($H$2,FIND("on",$H$2)+3,99)),"'","-")),"dddd")=B86,"Week Off",IF(H86="","",IF($H86=0,"Case Not Received",""))),"")</f>
        <v>Week Off</v>
      </c>
      <c r="N86" s="28">
        <f>(COUNTIF(I86:I89,"0"))/4</f>
        <v>0</v>
      </c>
    </row>
    <row r="87" spans="1:14">
      <c r="A87" s="24" t="s">
        <v>1202</v>
      </c>
      <c r="B87" s="4" t="s">
        <v>799</v>
      </c>
      <c r="C87" s="5">
        <f t="shared" ref="C87:C89" si="41">C86+1</f>
        <v>74</v>
      </c>
      <c r="D87" s="31"/>
      <c r="E87" s="32"/>
      <c r="F87" s="5" t="s">
        <v>151</v>
      </c>
      <c r="G87" s="5" t="s">
        <v>152</v>
      </c>
      <c r="H87" s="4">
        <v>15</v>
      </c>
      <c r="I87" s="4">
        <v>10</v>
      </c>
      <c r="J87" s="4">
        <v>0</v>
      </c>
      <c r="K87" s="4">
        <v>0</v>
      </c>
      <c r="L87" s="15">
        <f t="shared" si="39"/>
        <v>10</v>
      </c>
      <c r="M87" s="25" t="str">
        <f t="shared" si="40"/>
        <v/>
      </c>
      <c r="N87" s="28"/>
    </row>
    <row r="88" spans="1:14">
      <c r="A88" s="24" t="s">
        <v>1200</v>
      </c>
      <c r="B88" s="4" t="s">
        <v>801</v>
      </c>
      <c r="C88" s="5">
        <f t="shared" si="41"/>
        <v>75</v>
      </c>
      <c r="D88" s="31"/>
      <c r="E88" s="32"/>
      <c r="F88" s="5" t="s">
        <v>153</v>
      </c>
      <c r="G88" s="5" t="s">
        <v>154</v>
      </c>
      <c r="H88" s="4">
        <v>26</v>
      </c>
      <c r="I88" s="4">
        <v>8</v>
      </c>
      <c r="J88" s="4">
        <v>0</v>
      </c>
      <c r="K88" s="4">
        <v>0</v>
      </c>
      <c r="L88" s="15">
        <f t="shared" si="39"/>
        <v>8</v>
      </c>
      <c r="M88" s="25" t="str">
        <f t="shared" si="40"/>
        <v/>
      </c>
      <c r="N88" s="28"/>
    </row>
    <row r="89" spans="1:14">
      <c r="A89" s="4" t="s">
        <v>880</v>
      </c>
      <c r="B89" s="4" t="s">
        <v>797</v>
      </c>
      <c r="C89" s="5">
        <f t="shared" si="41"/>
        <v>76</v>
      </c>
      <c r="D89" s="31"/>
      <c r="E89" s="32"/>
      <c r="F89" s="5" t="s">
        <v>155</v>
      </c>
      <c r="G89" s="5" t="s">
        <v>156</v>
      </c>
      <c r="H89" s="4">
        <v>14</v>
      </c>
      <c r="I89" s="4">
        <v>6</v>
      </c>
      <c r="J89" s="4">
        <v>0</v>
      </c>
      <c r="K89" s="4">
        <v>0</v>
      </c>
      <c r="L89" s="15">
        <f t="shared" si="39"/>
        <v>6</v>
      </c>
      <c r="M89" s="25" t="str">
        <f t="shared" si="40"/>
        <v/>
      </c>
      <c r="N89" s="28"/>
    </row>
    <row r="90" spans="1:14" ht="15.6">
      <c r="A90" s="4"/>
      <c r="B90" s="4"/>
      <c r="C90" s="5"/>
      <c r="D90" s="31"/>
      <c r="E90" s="6"/>
      <c r="F90" s="7" t="s">
        <v>32</v>
      </c>
      <c r="G90" s="7">
        <v>4</v>
      </c>
      <c r="H90" s="7">
        <f t="shared" ref="H90:L90" si="42">SUM(H86:H89)</f>
        <v>72</v>
      </c>
      <c r="I90" s="7">
        <f t="shared" si="42"/>
        <v>26</v>
      </c>
      <c r="J90" s="7">
        <f t="shared" si="42"/>
        <v>0</v>
      </c>
      <c r="K90" s="7">
        <f t="shared" si="42"/>
        <v>0</v>
      </c>
      <c r="L90" s="7">
        <f t="shared" si="42"/>
        <v>26</v>
      </c>
      <c r="M90" s="25"/>
      <c r="N90" s="28"/>
    </row>
    <row r="91" spans="1:14">
      <c r="A91" s="4" t="s">
        <v>881</v>
      </c>
      <c r="B91" s="4" t="s">
        <v>803</v>
      </c>
      <c r="C91" s="5">
        <f>C89+1</f>
        <v>77</v>
      </c>
      <c r="D91" s="31"/>
      <c r="E91" s="32" t="s">
        <v>157</v>
      </c>
      <c r="F91" s="5" t="s">
        <v>10</v>
      </c>
      <c r="G91" s="5" t="s">
        <v>158</v>
      </c>
      <c r="H91" s="4">
        <v>4</v>
      </c>
      <c r="I91" s="4">
        <v>4</v>
      </c>
      <c r="J91" s="4">
        <v>0</v>
      </c>
      <c r="K91" s="4">
        <v>0</v>
      </c>
      <c r="L91" s="15">
        <f t="shared" ref="L91:L98" si="43">I91+J91+K91</f>
        <v>4</v>
      </c>
      <c r="M91" s="25" t="str">
        <f t="shared" ref="M91:M98" si="44">IFERROR(IF(TEXT(DATEVALUE(SUBSTITUTE(TRIM(MID($H$2,FIND("on",$H$2)+3,99)),"'","-")),"dddd")=B91,"Week Off",IF(H91="","",IF($H91=0,"Case Not Received",""))),"")</f>
        <v/>
      </c>
      <c r="N91" s="28">
        <f>(COUNTIF(I91:I98,"0"))/8</f>
        <v>0.25</v>
      </c>
    </row>
    <row r="92" spans="1:14">
      <c r="A92" s="4" t="s">
        <v>882</v>
      </c>
      <c r="B92" s="4" t="s">
        <v>797</v>
      </c>
      <c r="C92" s="5">
        <f t="shared" ref="C92:C98" si="45">C91+1</f>
        <v>78</v>
      </c>
      <c r="D92" s="31"/>
      <c r="E92" s="32"/>
      <c r="F92" s="5" t="s">
        <v>159</v>
      </c>
      <c r="G92" s="5" t="s">
        <v>160</v>
      </c>
      <c r="H92" s="4">
        <v>3</v>
      </c>
      <c r="I92" s="4">
        <v>2</v>
      </c>
      <c r="J92" s="4">
        <v>0</v>
      </c>
      <c r="K92" s="4">
        <v>0</v>
      </c>
      <c r="L92" s="15">
        <f t="shared" si="43"/>
        <v>2</v>
      </c>
      <c r="M92" s="25" t="str">
        <f t="shared" si="44"/>
        <v/>
      </c>
      <c r="N92" s="28"/>
    </row>
    <row r="93" spans="1:14">
      <c r="A93" s="4" t="s">
        <v>883</v>
      </c>
      <c r="B93" s="4" t="s">
        <v>798</v>
      </c>
      <c r="C93" s="5">
        <f t="shared" si="45"/>
        <v>79</v>
      </c>
      <c r="D93" s="31"/>
      <c r="E93" s="32"/>
      <c r="F93" s="5" t="s">
        <v>161</v>
      </c>
      <c r="G93" s="5" t="s">
        <v>162</v>
      </c>
      <c r="H93" s="4">
        <v>18</v>
      </c>
      <c r="I93" s="4">
        <v>0</v>
      </c>
      <c r="J93" s="4">
        <v>0</v>
      </c>
      <c r="K93" s="4">
        <v>0</v>
      </c>
      <c r="L93" s="15">
        <f t="shared" si="43"/>
        <v>0</v>
      </c>
      <c r="M93" s="25" t="str">
        <f t="shared" si="44"/>
        <v>Week Off</v>
      </c>
      <c r="N93" s="28"/>
    </row>
    <row r="94" spans="1:14">
      <c r="A94" s="4" t="s">
        <v>884</v>
      </c>
      <c r="B94" s="4" t="s">
        <v>799</v>
      </c>
      <c r="C94" s="5">
        <f t="shared" si="45"/>
        <v>80</v>
      </c>
      <c r="D94" s="31"/>
      <c r="E94" s="32"/>
      <c r="F94" s="5" t="s">
        <v>163</v>
      </c>
      <c r="G94" s="5" t="s">
        <v>164</v>
      </c>
      <c r="H94" s="4">
        <v>14</v>
      </c>
      <c r="I94" s="4">
        <v>9</v>
      </c>
      <c r="J94" s="4">
        <v>0</v>
      </c>
      <c r="K94" s="4">
        <v>0</v>
      </c>
      <c r="L94" s="15">
        <f t="shared" si="43"/>
        <v>9</v>
      </c>
      <c r="M94" s="25" t="str">
        <f t="shared" si="44"/>
        <v/>
      </c>
      <c r="N94" s="28"/>
    </row>
    <row r="95" spans="1:14">
      <c r="A95" s="4" t="s">
        <v>885</v>
      </c>
      <c r="B95" s="4" t="s">
        <v>800</v>
      </c>
      <c r="C95" s="5">
        <f t="shared" si="45"/>
        <v>81</v>
      </c>
      <c r="D95" s="31"/>
      <c r="E95" s="32"/>
      <c r="F95" s="5" t="s">
        <v>163</v>
      </c>
      <c r="G95" s="5" t="s">
        <v>165</v>
      </c>
      <c r="H95" s="4">
        <v>5</v>
      </c>
      <c r="I95" s="4">
        <v>0</v>
      </c>
      <c r="J95" s="4">
        <v>0</v>
      </c>
      <c r="K95" s="4">
        <v>0</v>
      </c>
      <c r="L95" s="15">
        <f t="shared" si="43"/>
        <v>0</v>
      </c>
      <c r="M95" s="25" t="str">
        <f t="shared" si="44"/>
        <v/>
      </c>
      <c r="N95" s="28"/>
    </row>
    <row r="96" spans="1:14">
      <c r="A96" s="4" t="s">
        <v>886</v>
      </c>
      <c r="B96" s="4" t="s">
        <v>802</v>
      </c>
      <c r="C96" s="5">
        <f t="shared" si="45"/>
        <v>82</v>
      </c>
      <c r="D96" s="31"/>
      <c r="E96" s="32"/>
      <c r="F96" s="5" t="s">
        <v>166</v>
      </c>
      <c r="G96" s="5" t="s">
        <v>167</v>
      </c>
      <c r="H96" s="4">
        <v>8</v>
      </c>
      <c r="I96" s="4">
        <v>6</v>
      </c>
      <c r="J96" s="4">
        <v>0</v>
      </c>
      <c r="K96" s="4">
        <v>0</v>
      </c>
      <c r="L96" s="15">
        <f t="shared" si="43"/>
        <v>6</v>
      </c>
      <c r="M96" s="25" t="str">
        <f t="shared" si="44"/>
        <v/>
      </c>
      <c r="N96" s="28"/>
    </row>
    <row r="97" spans="1:14">
      <c r="A97" s="4" t="s">
        <v>887</v>
      </c>
      <c r="B97" s="4" t="s">
        <v>800</v>
      </c>
      <c r="C97" s="5">
        <f t="shared" si="45"/>
        <v>83</v>
      </c>
      <c r="D97" s="31"/>
      <c r="E97" s="32"/>
      <c r="F97" s="5" t="s">
        <v>166</v>
      </c>
      <c r="G97" s="5" t="s">
        <v>168</v>
      </c>
      <c r="H97" s="4">
        <v>11</v>
      </c>
      <c r="I97" s="4">
        <v>5</v>
      </c>
      <c r="J97" s="4">
        <v>0</v>
      </c>
      <c r="K97" s="4">
        <v>0</v>
      </c>
      <c r="L97" s="15">
        <f t="shared" si="43"/>
        <v>5</v>
      </c>
      <c r="M97" s="25" t="str">
        <f t="shared" si="44"/>
        <v/>
      </c>
      <c r="N97" s="28"/>
    </row>
    <row r="98" spans="1:14">
      <c r="A98" s="4" t="s">
        <v>888</v>
      </c>
      <c r="B98" s="4" t="s">
        <v>801</v>
      </c>
      <c r="C98" s="5">
        <f t="shared" si="45"/>
        <v>84</v>
      </c>
      <c r="D98" s="31"/>
      <c r="E98" s="32"/>
      <c r="F98" s="5" t="s">
        <v>169</v>
      </c>
      <c r="G98" s="5" t="s">
        <v>170</v>
      </c>
      <c r="H98" s="4">
        <v>13</v>
      </c>
      <c r="I98" s="4">
        <v>6</v>
      </c>
      <c r="J98" s="4">
        <v>0</v>
      </c>
      <c r="K98" s="4">
        <v>0</v>
      </c>
      <c r="L98" s="15">
        <f t="shared" si="43"/>
        <v>6</v>
      </c>
      <c r="M98" s="25" t="str">
        <f t="shared" si="44"/>
        <v/>
      </c>
      <c r="N98" s="28"/>
    </row>
    <row r="99" spans="1:14" ht="15.6">
      <c r="A99" s="4"/>
      <c r="B99" s="4"/>
      <c r="C99" s="5"/>
      <c r="D99" s="31"/>
      <c r="E99" s="6"/>
      <c r="F99" s="7" t="s">
        <v>32</v>
      </c>
      <c r="G99" s="7">
        <v>8</v>
      </c>
      <c r="H99" s="7">
        <f t="shared" ref="H99:L99" si="46">SUM(H91:H98)</f>
        <v>76</v>
      </c>
      <c r="I99" s="7">
        <f t="shared" si="46"/>
        <v>32</v>
      </c>
      <c r="J99" s="7">
        <f t="shared" si="46"/>
        <v>0</v>
      </c>
      <c r="K99" s="7">
        <f t="shared" si="46"/>
        <v>0</v>
      </c>
      <c r="L99" s="7">
        <f t="shared" si="46"/>
        <v>32</v>
      </c>
      <c r="M99" s="25"/>
      <c r="N99" s="28"/>
    </row>
    <row r="100" spans="1:14">
      <c r="A100" s="4" t="s">
        <v>889</v>
      </c>
      <c r="B100" s="4" t="s">
        <v>800</v>
      </c>
      <c r="C100" s="5">
        <f>C98+1</f>
        <v>85</v>
      </c>
      <c r="D100" s="31"/>
      <c r="E100" s="32" t="s">
        <v>122</v>
      </c>
      <c r="F100" s="5" t="s">
        <v>10</v>
      </c>
      <c r="G100" s="5" t="s">
        <v>171</v>
      </c>
      <c r="H100" s="4">
        <v>9</v>
      </c>
      <c r="I100" s="4">
        <v>6</v>
      </c>
      <c r="J100" s="4">
        <v>0</v>
      </c>
      <c r="K100" s="4">
        <v>0</v>
      </c>
      <c r="L100" s="15">
        <f t="shared" ref="L100:L105" si="47">I100+J100+K100</f>
        <v>6</v>
      </c>
      <c r="M100" s="25" t="str">
        <f t="shared" ref="M100:M105" si="48">IFERROR(IF(TEXT(DATEVALUE(SUBSTITUTE(TRIM(MID($H$2,FIND("on",$H$2)+3,99)),"'","-")),"dddd")=B100,"Week Off",IF(H100="","",IF($H100=0,"Case Not Received",""))),"")</f>
        <v/>
      </c>
      <c r="N100" s="28">
        <f>(COUNTIF(I100:I105,"0"))/6</f>
        <v>0.33333333333333331</v>
      </c>
    </row>
    <row r="101" spans="1:14">
      <c r="A101" s="4" t="s">
        <v>890</v>
      </c>
      <c r="B101" s="4" t="s">
        <v>799</v>
      </c>
      <c r="C101" s="5">
        <f>C100+1</f>
        <v>86</v>
      </c>
      <c r="D101" s="31"/>
      <c r="E101" s="32"/>
      <c r="F101" s="5" t="s">
        <v>172</v>
      </c>
      <c r="G101" s="5" t="s">
        <v>173</v>
      </c>
      <c r="H101" s="4">
        <v>8</v>
      </c>
      <c r="I101" s="4">
        <v>3</v>
      </c>
      <c r="J101" s="4">
        <v>0</v>
      </c>
      <c r="K101" s="4">
        <v>0</v>
      </c>
      <c r="L101" s="15">
        <f t="shared" si="47"/>
        <v>3</v>
      </c>
      <c r="M101" s="25" t="str">
        <f t="shared" si="48"/>
        <v/>
      </c>
      <c r="N101" s="28"/>
    </row>
    <row r="102" spans="1:14">
      <c r="A102" s="4" t="s">
        <v>891</v>
      </c>
      <c r="B102" s="4" t="s">
        <v>797</v>
      </c>
      <c r="C102" s="5">
        <f t="shared" ref="C102:C111" si="49">C101+1</f>
        <v>87</v>
      </c>
      <c r="D102" s="31"/>
      <c r="E102" s="32"/>
      <c r="F102" s="5" t="s">
        <v>174</v>
      </c>
      <c r="G102" s="5" t="s">
        <v>175</v>
      </c>
      <c r="H102" s="4">
        <v>20</v>
      </c>
      <c r="I102" s="4">
        <v>0</v>
      </c>
      <c r="J102" s="4">
        <v>0</v>
      </c>
      <c r="K102" s="4">
        <v>0</v>
      </c>
      <c r="L102" s="15">
        <f t="shared" si="47"/>
        <v>0</v>
      </c>
      <c r="M102" s="25" t="str">
        <f t="shared" si="48"/>
        <v/>
      </c>
      <c r="N102" s="28"/>
    </row>
    <row r="103" spans="1:14">
      <c r="A103" s="4" t="s">
        <v>892</v>
      </c>
      <c r="B103" s="4" t="s">
        <v>798</v>
      </c>
      <c r="C103" s="5">
        <f t="shared" si="49"/>
        <v>88</v>
      </c>
      <c r="D103" s="31"/>
      <c r="E103" s="32"/>
      <c r="F103" s="5" t="s">
        <v>176</v>
      </c>
      <c r="G103" s="5" t="s">
        <v>177</v>
      </c>
      <c r="H103" s="4">
        <v>22</v>
      </c>
      <c r="I103" s="4">
        <v>0</v>
      </c>
      <c r="J103" s="4">
        <v>0</v>
      </c>
      <c r="K103" s="4">
        <v>0</v>
      </c>
      <c r="L103" s="15">
        <f t="shared" si="47"/>
        <v>0</v>
      </c>
      <c r="M103" s="25" t="str">
        <f t="shared" si="48"/>
        <v>Week Off</v>
      </c>
      <c r="N103" s="28"/>
    </row>
    <row r="104" spans="1:14">
      <c r="A104" s="4" t="s">
        <v>893</v>
      </c>
      <c r="B104" s="4" t="s">
        <v>802</v>
      </c>
      <c r="C104" s="5">
        <f t="shared" si="49"/>
        <v>89</v>
      </c>
      <c r="D104" s="31"/>
      <c r="E104" s="32"/>
      <c r="F104" s="5" t="s">
        <v>178</v>
      </c>
      <c r="G104" s="5" t="s">
        <v>179</v>
      </c>
      <c r="H104" s="4">
        <v>31</v>
      </c>
      <c r="I104" s="4">
        <v>12</v>
      </c>
      <c r="J104" s="4">
        <v>0</v>
      </c>
      <c r="K104" s="4">
        <v>0</v>
      </c>
      <c r="L104" s="15">
        <f t="shared" si="47"/>
        <v>12</v>
      </c>
      <c r="M104" s="25" t="str">
        <f t="shared" si="48"/>
        <v/>
      </c>
      <c r="N104" s="28"/>
    </row>
    <row r="105" spans="1:14">
      <c r="A105" s="4" t="s">
        <v>894</v>
      </c>
      <c r="B105" s="4" t="s">
        <v>801</v>
      </c>
      <c r="C105" s="5">
        <f t="shared" si="49"/>
        <v>90</v>
      </c>
      <c r="D105" s="31"/>
      <c r="E105" s="32"/>
      <c r="F105" s="5" t="s">
        <v>178</v>
      </c>
      <c r="G105" s="5" t="s">
        <v>180</v>
      </c>
      <c r="H105" s="4">
        <v>26</v>
      </c>
      <c r="I105" s="4">
        <v>7</v>
      </c>
      <c r="J105" s="4">
        <v>0</v>
      </c>
      <c r="K105" s="4">
        <v>0</v>
      </c>
      <c r="L105" s="15">
        <f t="shared" si="47"/>
        <v>7</v>
      </c>
      <c r="M105" s="25" t="str">
        <f t="shared" si="48"/>
        <v/>
      </c>
      <c r="N105" s="28"/>
    </row>
    <row r="106" spans="1:14" ht="15.6">
      <c r="A106" s="4"/>
      <c r="B106" s="4"/>
      <c r="C106" s="5"/>
      <c r="D106" s="31"/>
      <c r="E106" s="6"/>
      <c r="F106" s="7" t="s">
        <v>32</v>
      </c>
      <c r="G106" s="7">
        <v>6</v>
      </c>
      <c r="H106" s="7">
        <f t="shared" ref="H106:L106" si="50">SUM(H100:H105)</f>
        <v>116</v>
      </c>
      <c r="I106" s="7">
        <f t="shared" si="50"/>
        <v>28</v>
      </c>
      <c r="J106" s="7">
        <f t="shared" si="50"/>
        <v>0</v>
      </c>
      <c r="K106" s="7">
        <f t="shared" si="50"/>
        <v>0</v>
      </c>
      <c r="L106" s="7">
        <f t="shared" si="50"/>
        <v>28</v>
      </c>
      <c r="M106" s="25"/>
      <c r="N106" s="28"/>
    </row>
    <row r="107" spans="1:14">
      <c r="A107" s="4" t="s">
        <v>895</v>
      </c>
      <c r="B107" s="4" t="s">
        <v>802</v>
      </c>
      <c r="C107" s="5">
        <f>C105+1</f>
        <v>91</v>
      </c>
      <c r="D107" s="31"/>
      <c r="E107" s="32" t="s">
        <v>181</v>
      </c>
      <c r="F107" s="5" t="s">
        <v>10</v>
      </c>
      <c r="G107" s="5" t="s">
        <v>182</v>
      </c>
      <c r="H107" s="4">
        <v>10</v>
      </c>
      <c r="I107" s="4">
        <v>4</v>
      </c>
      <c r="J107" s="4">
        <v>0</v>
      </c>
      <c r="K107" s="4">
        <v>0</v>
      </c>
      <c r="L107" s="15">
        <f t="shared" ref="L107:L115" si="51">I107+J107+K107</f>
        <v>4</v>
      </c>
      <c r="M107" s="25" t="str">
        <f t="shared" ref="M107:M115" si="52">IFERROR(IF(TEXT(DATEVALUE(SUBSTITUTE(TRIM(MID($H$2,FIND("on",$H$2)+3,99)),"'","-")),"dddd")=B107,"Week Off",IF(H107="","",IF($H107=0,"Case Not Received",""))),"")</f>
        <v/>
      </c>
      <c r="N107" s="28">
        <f>(COUNTIF(I107:I115,"0"))/9</f>
        <v>0.1111111111111111</v>
      </c>
    </row>
    <row r="108" spans="1:14">
      <c r="A108" s="4" t="s">
        <v>896</v>
      </c>
      <c r="B108" s="4" t="s">
        <v>803</v>
      </c>
      <c r="C108" s="5">
        <f t="shared" si="49"/>
        <v>92</v>
      </c>
      <c r="D108" s="31"/>
      <c r="E108" s="32"/>
      <c r="F108" s="5" t="s">
        <v>183</v>
      </c>
      <c r="G108" s="5" t="s">
        <v>184</v>
      </c>
      <c r="H108" s="4">
        <v>12</v>
      </c>
      <c r="I108" s="4">
        <v>5</v>
      </c>
      <c r="J108" s="4">
        <v>0</v>
      </c>
      <c r="K108" s="4">
        <v>0</v>
      </c>
      <c r="L108" s="15">
        <f t="shared" si="51"/>
        <v>5</v>
      </c>
      <c r="M108" s="25" t="str">
        <f t="shared" si="52"/>
        <v/>
      </c>
      <c r="N108" s="28"/>
    </row>
    <row r="109" spans="1:14">
      <c r="A109" s="4" t="s">
        <v>897</v>
      </c>
      <c r="B109" s="4" t="s">
        <v>799</v>
      </c>
      <c r="C109" s="5">
        <f t="shared" si="49"/>
        <v>93</v>
      </c>
      <c r="D109" s="31"/>
      <c r="E109" s="32"/>
      <c r="F109" s="5" t="s">
        <v>185</v>
      </c>
      <c r="G109" s="5" t="s">
        <v>186</v>
      </c>
      <c r="H109" s="4">
        <v>21</v>
      </c>
      <c r="I109" s="4">
        <v>8</v>
      </c>
      <c r="J109" s="4">
        <v>0</v>
      </c>
      <c r="K109" s="4">
        <v>0</v>
      </c>
      <c r="L109" s="15">
        <f t="shared" si="51"/>
        <v>8</v>
      </c>
      <c r="M109" s="25" t="str">
        <f t="shared" si="52"/>
        <v/>
      </c>
      <c r="N109" s="28"/>
    </row>
    <row r="110" spans="1:14">
      <c r="A110" s="23" t="s">
        <v>1199</v>
      </c>
      <c r="B110" s="4" t="s">
        <v>800</v>
      </c>
      <c r="C110" s="5">
        <f t="shared" si="49"/>
        <v>94</v>
      </c>
      <c r="D110" s="31"/>
      <c r="E110" s="32"/>
      <c r="F110" s="5" t="s">
        <v>187</v>
      </c>
      <c r="G110" s="5" t="s">
        <v>188</v>
      </c>
      <c r="H110" s="4">
        <v>10</v>
      </c>
      <c r="I110" s="4">
        <v>4</v>
      </c>
      <c r="J110" s="4">
        <v>0</v>
      </c>
      <c r="K110" s="4">
        <v>0</v>
      </c>
      <c r="L110" s="15">
        <f t="shared" si="51"/>
        <v>4</v>
      </c>
      <c r="M110" s="25" t="str">
        <f t="shared" si="52"/>
        <v/>
      </c>
      <c r="N110" s="28"/>
    </row>
    <row r="111" spans="1:14">
      <c r="A111" s="4" t="s">
        <v>898</v>
      </c>
      <c r="B111" s="4" t="s">
        <v>797</v>
      </c>
      <c r="C111" s="5">
        <f t="shared" si="49"/>
        <v>95</v>
      </c>
      <c r="D111" s="31"/>
      <c r="E111" s="32"/>
      <c r="F111" s="5" t="s">
        <v>189</v>
      </c>
      <c r="G111" s="5" t="s">
        <v>190</v>
      </c>
      <c r="H111" s="4">
        <v>10</v>
      </c>
      <c r="I111" s="4">
        <v>8</v>
      </c>
      <c r="J111" s="4">
        <v>0</v>
      </c>
      <c r="K111" s="4">
        <v>0</v>
      </c>
      <c r="L111" s="15">
        <f t="shared" si="51"/>
        <v>8</v>
      </c>
      <c r="M111" s="25" t="str">
        <f t="shared" si="52"/>
        <v/>
      </c>
      <c r="N111" s="28"/>
    </row>
    <row r="112" spans="1:14">
      <c r="A112" s="4" t="s">
        <v>899</v>
      </c>
      <c r="B112" s="4" t="s">
        <v>803</v>
      </c>
      <c r="C112" s="5">
        <f>C111+1</f>
        <v>96</v>
      </c>
      <c r="D112" s="31"/>
      <c r="E112" s="32"/>
      <c r="F112" s="5" t="s">
        <v>189</v>
      </c>
      <c r="G112" s="5" t="s">
        <v>191</v>
      </c>
      <c r="H112" s="4">
        <v>10</v>
      </c>
      <c r="I112" s="4">
        <v>7</v>
      </c>
      <c r="J112" s="4">
        <v>0</v>
      </c>
      <c r="K112" s="4">
        <v>0</v>
      </c>
      <c r="L112" s="15">
        <f t="shared" si="51"/>
        <v>7</v>
      </c>
      <c r="M112" s="25" t="str">
        <f t="shared" si="52"/>
        <v/>
      </c>
      <c r="N112" s="28"/>
    </row>
    <row r="113" spans="1:14">
      <c r="A113" s="4" t="s">
        <v>900</v>
      </c>
      <c r="B113" s="4" t="s">
        <v>798</v>
      </c>
      <c r="C113" s="5">
        <f t="shared" ref="C113:C115" si="53">C112+1</f>
        <v>97</v>
      </c>
      <c r="D113" s="31"/>
      <c r="E113" s="32"/>
      <c r="F113" s="5" t="s">
        <v>192</v>
      </c>
      <c r="G113" s="5" t="s">
        <v>193</v>
      </c>
      <c r="H113" s="4">
        <v>14</v>
      </c>
      <c r="I113" s="4">
        <v>0</v>
      </c>
      <c r="J113" s="4">
        <v>0</v>
      </c>
      <c r="K113" s="4">
        <v>0</v>
      </c>
      <c r="L113" s="15">
        <f t="shared" si="51"/>
        <v>0</v>
      </c>
      <c r="M113" s="25" t="str">
        <f t="shared" si="52"/>
        <v>Week Off</v>
      </c>
      <c r="N113" s="28"/>
    </row>
    <row r="114" spans="1:14">
      <c r="A114" s="4" t="s">
        <v>901</v>
      </c>
      <c r="B114" s="4" t="s">
        <v>802</v>
      </c>
      <c r="C114" s="5">
        <f t="shared" si="53"/>
        <v>98</v>
      </c>
      <c r="D114" s="31"/>
      <c r="E114" s="32"/>
      <c r="F114" s="5" t="s">
        <v>194</v>
      </c>
      <c r="G114" s="5" t="s">
        <v>195</v>
      </c>
      <c r="H114" s="4">
        <v>19</v>
      </c>
      <c r="I114" s="4">
        <v>5</v>
      </c>
      <c r="J114" s="4">
        <v>0</v>
      </c>
      <c r="K114" s="4">
        <v>0</v>
      </c>
      <c r="L114" s="15">
        <f t="shared" si="51"/>
        <v>5</v>
      </c>
      <c r="M114" s="25" t="str">
        <f t="shared" si="52"/>
        <v/>
      </c>
      <c r="N114" s="28"/>
    </row>
    <row r="115" spans="1:14">
      <c r="A115" s="4" t="s">
        <v>902</v>
      </c>
      <c r="B115" s="4" t="s">
        <v>801</v>
      </c>
      <c r="C115" s="5">
        <f t="shared" si="53"/>
        <v>99</v>
      </c>
      <c r="D115" s="31"/>
      <c r="E115" s="32"/>
      <c r="F115" s="5" t="s">
        <v>196</v>
      </c>
      <c r="G115" s="5" t="s">
        <v>197</v>
      </c>
      <c r="H115" s="4">
        <v>13</v>
      </c>
      <c r="I115" s="4">
        <v>6</v>
      </c>
      <c r="J115" s="4">
        <v>0</v>
      </c>
      <c r="K115" s="4">
        <v>0</v>
      </c>
      <c r="L115" s="15">
        <f t="shared" si="51"/>
        <v>6</v>
      </c>
      <c r="M115" s="25" t="str">
        <f t="shared" si="52"/>
        <v/>
      </c>
      <c r="N115" s="28"/>
    </row>
    <row r="116" spans="1:14" ht="15.6">
      <c r="A116" s="4"/>
      <c r="B116" s="4"/>
      <c r="C116" s="5"/>
      <c r="D116" s="31"/>
      <c r="E116" s="6"/>
      <c r="F116" s="7" t="s">
        <v>32</v>
      </c>
      <c r="G116" s="7">
        <v>9</v>
      </c>
      <c r="H116" s="7">
        <f t="shared" ref="H116:L116" si="54">SUM(H107:H115)</f>
        <v>119</v>
      </c>
      <c r="I116" s="7">
        <f t="shared" si="54"/>
        <v>47</v>
      </c>
      <c r="J116" s="7">
        <f t="shared" si="54"/>
        <v>0</v>
      </c>
      <c r="K116" s="7">
        <f t="shared" si="54"/>
        <v>0</v>
      </c>
      <c r="L116" s="7">
        <f t="shared" si="54"/>
        <v>47</v>
      </c>
      <c r="M116" s="25"/>
      <c r="N116" s="28"/>
    </row>
    <row r="117" spans="1:14">
      <c r="A117" s="4" t="s">
        <v>903</v>
      </c>
      <c r="B117" s="4" t="s">
        <v>803</v>
      </c>
      <c r="C117" s="5">
        <f>C115+1</f>
        <v>100</v>
      </c>
      <c r="D117" s="31"/>
      <c r="E117" s="32" t="s">
        <v>198</v>
      </c>
      <c r="F117" s="5" t="s">
        <v>10</v>
      </c>
      <c r="G117" s="5" t="s">
        <v>199</v>
      </c>
      <c r="H117" s="4">
        <v>5</v>
      </c>
      <c r="I117" s="4">
        <v>4</v>
      </c>
      <c r="J117" s="4">
        <v>0</v>
      </c>
      <c r="K117" s="4">
        <v>0</v>
      </c>
      <c r="L117" s="15">
        <f t="shared" ref="L117:L123" si="55">I117+J117+K117</f>
        <v>4</v>
      </c>
      <c r="M117" s="25" t="str">
        <f t="shared" ref="M117:M123" si="56">IFERROR(IF(TEXT(DATEVALUE(SUBSTITUTE(TRIM(MID($H$2,FIND("on",$H$2)+3,99)),"'","-")),"dddd")=B117,"Week Off",IF(H117="","",IF($H117=0,"Case Not Received",""))),"")</f>
        <v/>
      </c>
      <c r="N117" s="28">
        <f>(COUNTIF(I117:I123,"0"))/7</f>
        <v>0.42857142857142855</v>
      </c>
    </row>
    <row r="118" spans="1:14">
      <c r="A118" s="4" t="s">
        <v>904</v>
      </c>
      <c r="B118" s="4" t="s">
        <v>800</v>
      </c>
      <c r="C118" s="5">
        <f t="shared" ref="C118:C133" si="57">C117+1</f>
        <v>101</v>
      </c>
      <c r="D118" s="31"/>
      <c r="E118" s="32"/>
      <c r="F118" s="5" t="s">
        <v>200</v>
      </c>
      <c r="G118" s="5" t="s">
        <v>201</v>
      </c>
      <c r="H118" s="4">
        <v>6</v>
      </c>
      <c r="I118" s="4">
        <v>0</v>
      </c>
      <c r="J118" s="4">
        <v>0</v>
      </c>
      <c r="K118" s="4">
        <v>0</v>
      </c>
      <c r="L118" s="15">
        <f t="shared" si="55"/>
        <v>0</v>
      </c>
      <c r="M118" s="25" t="str">
        <f t="shared" si="56"/>
        <v/>
      </c>
      <c r="N118" s="28"/>
    </row>
    <row r="119" spans="1:14">
      <c r="A119" s="24" t="s">
        <v>1196</v>
      </c>
      <c r="B119" s="4" t="s">
        <v>801</v>
      </c>
      <c r="C119" s="5">
        <f t="shared" si="57"/>
        <v>102</v>
      </c>
      <c r="D119" s="31"/>
      <c r="E119" s="32"/>
      <c r="F119" s="10" t="s">
        <v>198</v>
      </c>
      <c r="G119" s="5" t="s">
        <v>202</v>
      </c>
      <c r="H119" s="4">
        <v>9</v>
      </c>
      <c r="I119" s="4">
        <v>6</v>
      </c>
      <c r="J119" s="4">
        <v>0</v>
      </c>
      <c r="K119" s="4">
        <v>0</v>
      </c>
      <c r="L119" s="15">
        <f t="shared" si="55"/>
        <v>6</v>
      </c>
      <c r="M119" s="25" t="str">
        <f t="shared" si="56"/>
        <v/>
      </c>
      <c r="N119" s="28"/>
    </row>
    <row r="120" spans="1:14">
      <c r="A120" s="4" t="s">
        <v>905</v>
      </c>
      <c r="B120" s="4" t="s">
        <v>802</v>
      </c>
      <c r="C120" s="5">
        <f t="shared" si="57"/>
        <v>103</v>
      </c>
      <c r="D120" s="31"/>
      <c r="E120" s="32"/>
      <c r="F120" s="5" t="s">
        <v>203</v>
      </c>
      <c r="G120" s="5" t="s">
        <v>204</v>
      </c>
      <c r="H120" s="4">
        <v>4</v>
      </c>
      <c r="I120" s="4">
        <v>3</v>
      </c>
      <c r="J120" s="4">
        <v>0</v>
      </c>
      <c r="K120" s="4">
        <v>0</v>
      </c>
      <c r="L120" s="15">
        <f t="shared" si="55"/>
        <v>3</v>
      </c>
      <c r="M120" s="25" t="str">
        <f t="shared" si="56"/>
        <v/>
      </c>
      <c r="N120" s="28"/>
    </row>
    <row r="121" spans="1:14">
      <c r="A121" s="4" t="s">
        <v>906</v>
      </c>
      <c r="B121" s="4" t="s">
        <v>799</v>
      </c>
      <c r="C121" s="5">
        <f t="shared" si="57"/>
        <v>104</v>
      </c>
      <c r="D121" s="31"/>
      <c r="E121" s="32"/>
      <c r="F121" s="5" t="s">
        <v>205</v>
      </c>
      <c r="G121" s="5" t="s">
        <v>206</v>
      </c>
      <c r="H121" s="4">
        <v>6</v>
      </c>
      <c r="I121" s="4">
        <v>4</v>
      </c>
      <c r="J121" s="4">
        <v>0</v>
      </c>
      <c r="K121" s="4">
        <v>0</v>
      </c>
      <c r="L121" s="15">
        <f t="shared" si="55"/>
        <v>4</v>
      </c>
      <c r="M121" s="25" t="str">
        <f t="shared" si="56"/>
        <v/>
      </c>
      <c r="N121" s="28"/>
    </row>
    <row r="122" spans="1:14">
      <c r="A122" s="23" t="s">
        <v>1203</v>
      </c>
      <c r="B122" s="4" t="s">
        <v>798</v>
      </c>
      <c r="C122" s="5">
        <f t="shared" si="57"/>
        <v>105</v>
      </c>
      <c r="D122" s="31"/>
      <c r="E122" s="32"/>
      <c r="F122" s="5" t="s">
        <v>205</v>
      </c>
      <c r="G122" s="5" t="s">
        <v>207</v>
      </c>
      <c r="H122" s="4">
        <v>7</v>
      </c>
      <c r="I122" s="4">
        <v>0</v>
      </c>
      <c r="J122" s="4">
        <v>0</v>
      </c>
      <c r="K122" s="4">
        <v>0</v>
      </c>
      <c r="L122" s="15">
        <f t="shared" si="55"/>
        <v>0</v>
      </c>
      <c r="M122" s="25" t="str">
        <f t="shared" si="56"/>
        <v>Week Off</v>
      </c>
      <c r="N122" s="28"/>
    </row>
    <row r="123" spans="1:14">
      <c r="A123" s="4" t="s">
        <v>907</v>
      </c>
      <c r="B123" s="4" t="s">
        <v>797</v>
      </c>
      <c r="C123" s="5">
        <f t="shared" si="57"/>
        <v>106</v>
      </c>
      <c r="D123" s="31"/>
      <c r="E123" s="32"/>
      <c r="F123" s="5" t="s">
        <v>205</v>
      </c>
      <c r="G123" s="5" t="s">
        <v>208</v>
      </c>
      <c r="H123" s="4">
        <v>8</v>
      </c>
      <c r="I123" s="4">
        <v>0</v>
      </c>
      <c r="J123" s="4">
        <v>0</v>
      </c>
      <c r="K123" s="4">
        <v>0</v>
      </c>
      <c r="L123" s="15">
        <f t="shared" si="55"/>
        <v>0</v>
      </c>
      <c r="M123" s="25" t="str">
        <f t="shared" si="56"/>
        <v/>
      </c>
      <c r="N123" s="28"/>
    </row>
    <row r="124" spans="1:14" ht="15.6">
      <c r="A124" s="4"/>
      <c r="B124" s="4"/>
      <c r="C124" s="5"/>
      <c r="D124" s="31"/>
      <c r="E124" s="6"/>
      <c r="F124" s="7" t="s">
        <v>32</v>
      </c>
      <c r="G124" s="7">
        <v>7</v>
      </c>
      <c r="H124" s="7">
        <f t="shared" ref="H124:L124" si="58">SUM(H117:H123)</f>
        <v>45</v>
      </c>
      <c r="I124" s="7">
        <f t="shared" si="58"/>
        <v>17</v>
      </c>
      <c r="J124" s="7">
        <f t="shared" si="58"/>
        <v>0</v>
      </c>
      <c r="K124" s="7">
        <f t="shared" si="58"/>
        <v>0</v>
      </c>
      <c r="L124" s="7">
        <f t="shared" si="58"/>
        <v>17</v>
      </c>
      <c r="M124" s="25"/>
      <c r="N124" s="28"/>
    </row>
    <row r="125" spans="1:14">
      <c r="A125" s="4" t="s">
        <v>908</v>
      </c>
      <c r="B125" s="4" t="s">
        <v>797</v>
      </c>
      <c r="C125" s="5">
        <f>C123+1</f>
        <v>107</v>
      </c>
      <c r="D125" s="31"/>
      <c r="E125" s="32" t="s">
        <v>209</v>
      </c>
      <c r="F125" s="5" t="s">
        <v>10</v>
      </c>
      <c r="G125" s="5" t="s">
        <v>210</v>
      </c>
      <c r="H125" s="4">
        <v>2</v>
      </c>
      <c r="I125" s="4">
        <v>2</v>
      </c>
      <c r="J125" s="4">
        <v>0</v>
      </c>
      <c r="K125" s="4">
        <v>0</v>
      </c>
      <c r="L125" s="15">
        <f t="shared" ref="L125:L133" si="59">I125+J125+K125</f>
        <v>2</v>
      </c>
      <c r="M125" s="25" t="str">
        <f t="shared" ref="M125:M133" si="60">IFERROR(IF(TEXT(DATEVALUE(SUBSTITUTE(TRIM(MID($H$2,FIND("on",$H$2)+3,99)),"'","-")),"dddd")=B125,"Week Off",IF(H125="","",IF($H125=0,"Case Not Received",""))),"")</f>
        <v/>
      </c>
      <c r="N125" s="28">
        <f>(COUNTIF(I125:I133,"0"))/9</f>
        <v>0.33333333333333331</v>
      </c>
    </row>
    <row r="126" spans="1:14">
      <c r="A126" s="4" t="s">
        <v>909</v>
      </c>
      <c r="B126" s="4" t="s">
        <v>799</v>
      </c>
      <c r="C126" s="5">
        <f t="shared" si="57"/>
        <v>108</v>
      </c>
      <c r="D126" s="31"/>
      <c r="E126" s="32"/>
      <c r="F126" s="5" t="s">
        <v>211</v>
      </c>
      <c r="G126" s="5" t="s">
        <v>212</v>
      </c>
      <c r="H126" s="4">
        <v>12</v>
      </c>
      <c r="I126" s="4">
        <v>4</v>
      </c>
      <c r="J126" s="4">
        <v>0</v>
      </c>
      <c r="K126" s="4">
        <v>0</v>
      </c>
      <c r="L126" s="15">
        <f t="shared" si="59"/>
        <v>4</v>
      </c>
      <c r="M126" s="25" t="str">
        <f t="shared" si="60"/>
        <v/>
      </c>
      <c r="N126" s="28"/>
    </row>
    <row r="127" spans="1:14">
      <c r="A127" s="4" t="s">
        <v>910</v>
      </c>
      <c r="B127" s="4" t="s">
        <v>797</v>
      </c>
      <c r="C127" s="5">
        <f t="shared" si="57"/>
        <v>109</v>
      </c>
      <c r="D127" s="31"/>
      <c r="E127" s="32"/>
      <c r="F127" s="5" t="s">
        <v>213</v>
      </c>
      <c r="G127" s="5" t="s">
        <v>214</v>
      </c>
      <c r="H127" s="4">
        <v>12</v>
      </c>
      <c r="I127" s="4">
        <v>4</v>
      </c>
      <c r="J127" s="4">
        <v>0</v>
      </c>
      <c r="K127" s="4">
        <v>0</v>
      </c>
      <c r="L127" s="15">
        <f t="shared" si="59"/>
        <v>4</v>
      </c>
      <c r="M127" s="25" t="str">
        <f t="shared" si="60"/>
        <v/>
      </c>
      <c r="N127" s="28"/>
    </row>
    <row r="128" spans="1:14">
      <c r="A128" s="4" t="s">
        <v>911</v>
      </c>
      <c r="B128" s="4" t="s">
        <v>801</v>
      </c>
      <c r="C128" s="5">
        <f t="shared" si="57"/>
        <v>110</v>
      </c>
      <c r="D128" s="31"/>
      <c r="E128" s="32"/>
      <c r="F128" s="11" t="s">
        <v>215</v>
      </c>
      <c r="G128" s="5" t="s">
        <v>216</v>
      </c>
      <c r="H128" s="4">
        <v>32</v>
      </c>
      <c r="I128" s="4">
        <v>8</v>
      </c>
      <c r="J128" s="4">
        <v>0</v>
      </c>
      <c r="K128" s="4">
        <v>0</v>
      </c>
      <c r="L128" s="15">
        <f t="shared" si="59"/>
        <v>8</v>
      </c>
      <c r="M128" s="25" t="str">
        <f t="shared" si="60"/>
        <v/>
      </c>
      <c r="N128" s="28"/>
    </row>
    <row r="129" spans="1:14">
      <c r="A129" s="4" t="s">
        <v>912</v>
      </c>
      <c r="B129" s="4" t="s">
        <v>800</v>
      </c>
      <c r="C129" s="5">
        <f t="shared" si="57"/>
        <v>111</v>
      </c>
      <c r="D129" s="31"/>
      <c r="E129" s="32"/>
      <c r="F129" s="5" t="s">
        <v>217</v>
      </c>
      <c r="G129" s="5" t="s">
        <v>218</v>
      </c>
      <c r="H129" s="4">
        <v>10</v>
      </c>
      <c r="I129" s="4">
        <v>6</v>
      </c>
      <c r="J129" s="4">
        <v>0</v>
      </c>
      <c r="K129" s="4">
        <v>0</v>
      </c>
      <c r="L129" s="15">
        <f t="shared" si="59"/>
        <v>6</v>
      </c>
      <c r="M129" s="25" t="str">
        <f t="shared" si="60"/>
        <v/>
      </c>
      <c r="N129" s="28"/>
    </row>
    <row r="130" spans="1:14">
      <c r="A130" s="4" t="s">
        <v>913</v>
      </c>
      <c r="B130" s="4" t="s">
        <v>798</v>
      </c>
      <c r="C130" s="5">
        <f t="shared" si="57"/>
        <v>112</v>
      </c>
      <c r="D130" s="31"/>
      <c r="E130" s="32"/>
      <c r="F130" s="5" t="s">
        <v>219</v>
      </c>
      <c r="G130" s="5" t="s">
        <v>220</v>
      </c>
      <c r="H130" s="4">
        <v>12</v>
      </c>
      <c r="I130" s="4">
        <v>0</v>
      </c>
      <c r="J130" s="4">
        <v>0</v>
      </c>
      <c r="K130" s="4">
        <v>0</v>
      </c>
      <c r="L130" s="15">
        <f t="shared" si="59"/>
        <v>0</v>
      </c>
      <c r="M130" s="25" t="str">
        <f t="shared" si="60"/>
        <v>Week Off</v>
      </c>
      <c r="N130" s="28"/>
    </row>
    <row r="131" spans="1:14">
      <c r="A131" s="4" t="s">
        <v>914</v>
      </c>
      <c r="B131" s="4" t="s">
        <v>803</v>
      </c>
      <c r="C131" s="5">
        <f t="shared" si="57"/>
        <v>113</v>
      </c>
      <c r="D131" s="31"/>
      <c r="E131" s="32"/>
      <c r="F131" s="5" t="s">
        <v>221</v>
      </c>
      <c r="G131" s="5" t="s">
        <v>222</v>
      </c>
      <c r="H131" s="4">
        <v>26</v>
      </c>
      <c r="I131" s="4">
        <v>11</v>
      </c>
      <c r="J131" s="4">
        <v>0</v>
      </c>
      <c r="K131" s="4">
        <v>0</v>
      </c>
      <c r="L131" s="15">
        <f t="shared" si="59"/>
        <v>11</v>
      </c>
      <c r="M131" s="25" t="str">
        <f t="shared" si="60"/>
        <v/>
      </c>
      <c r="N131" s="28"/>
    </row>
    <row r="132" spans="1:14">
      <c r="A132" s="4" t="s">
        <v>915</v>
      </c>
      <c r="B132" s="4" t="s">
        <v>802</v>
      </c>
      <c r="C132" s="5">
        <f t="shared" si="57"/>
        <v>114</v>
      </c>
      <c r="D132" s="31"/>
      <c r="E132" s="32"/>
      <c r="F132" s="5" t="s">
        <v>223</v>
      </c>
      <c r="G132" s="5" t="s">
        <v>224</v>
      </c>
      <c r="H132" s="4">
        <v>22</v>
      </c>
      <c r="I132" s="4">
        <v>0</v>
      </c>
      <c r="J132" s="4">
        <v>0</v>
      </c>
      <c r="K132" s="4">
        <v>0</v>
      </c>
      <c r="L132" s="15">
        <f t="shared" si="59"/>
        <v>0</v>
      </c>
      <c r="M132" s="25" t="str">
        <f t="shared" si="60"/>
        <v/>
      </c>
      <c r="N132" s="28"/>
    </row>
    <row r="133" spans="1:14">
      <c r="A133" s="24" t="s">
        <v>1208</v>
      </c>
      <c r="B133" s="4" t="s">
        <v>803</v>
      </c>
      <c r="C133" s="5">
        <f t="shared" si="57"/>
        <v>115</v>
      </c>
      <c r="D133" s="31"/>
      <c r="E133" s="32"/>
      <c r="F133" s="5" t="s">
        <v>225</v>
      </c>
      <c r="G133" s="5" t="s">
        <v>226</v>
      </c>
      <c r="H133" s="4">
        <v>17</v>
      </c>
      <c r="I133" s="4">
        <v>0</v>
      </c>
      <c r="J133" s="4">
        <v>0</v>
      </c>
      <c r="K133" s="4">
        <v>0</v>
      </c>
      <c r="L133" s="15">
        <f t="shared" si="59"/>
        <v>0</v>
      </c>
      <c r="M133" s="25" t="str">
        <f t="shared" si="60"/>
        <v/>
      </c>
      <c r="N133" s="28"/>
    </row>
    <row r="134" spans="1:14" ht="28.8">
      <c r="A134" s="4"/>
      <c r="B134" s="4"/>
      <c r="C134" s="5"/>
      <c r="D134" s="19"/>
      <c r="E134" s="6"/>
      <c r="F134" s="7" t="s">
        <v>32</v>
      </c>
      <c r="G134" s="7">
        <v>9</v>
      </c>
      <c r="H134" s="7">
        <f t="shared" ref="H134:L134" si="61">SUM(H125:H133)</f>
        <v>145</v>
      </c>
      <c r="I134" s="7">
        <f t="shared" si="61"/>
        <v>35</v>
      </c>
      <c r="J134" s="7">
        <f t="shared" si="61"/>
        <v>0</v>
      </c>
      <c r="K134" s="7">
        <f t="shared" si="61"/>
        <v>0</v>
      </c>
      <c r="L134" s="7">
        <f t="shared" si="61"/>
        <v>35</v>
      </c>
      <c r="M134" s="25"/>
      <c r="N134" s="28"/>
    </row>
    <row r="135" spans="1:14" ht="28.8">
      <c r="A135" s="4"/>
      <c r="B135" s="4"/>
      <c r="C135" s="5"/>
      <c r="D135" s="19"/>
      <c r="E135" s="8"/>
      <c r="F135" s="9" t="s">
        <v>121</v>
      </c>
      <c r="G135" s="9">
        <f>SUM(G134,G124,G116,G106,G99,G90,G85,G76)</f>
        <v>56</v>
      </c>
      <c r="H135" s="16">
        <f t="shared" ref="H135:L135" si="62">SUM(H134,H124,H116,H106,H99,H90,H85,H76)</f>
        <v>839</v>
      </c>
      <c r="I135" s="16">
        <f t="shared" si="62"/>
        <v>280</v>
      </c>
      <c r="J135" s="16">
        <f t="shared" si="62"/>
        <v>0</v>
      </c>
      <c r="K135" s="16">
        <f t="shared" si="62"/>
        <v>0</v>
      </c>
      <c r="L135" s="16">
        <f t="shared" si="62"/>
        <v>280</v>
      </c>
      <c r="M135" s="25"/>
      <c r="N135" s="4"/>
    </row>
    <row r="136" spans="1:14">
      <c r="A136" s="4" t="s">
        <v>916</v>
      </c>
      <c r="B136" s="4" t="s">
        <v>799</v>
      </c>
      <c r="C136" s="5">
        <f>C133+1</f>
        <v>116</v>
      </c>
      <c r="D136" s="31" t="s">
        <v>227</v>
      </c>
      <c r="E136" s="32" t="s">
        <v>228</v>
      </c>
      <c r="F136" s="5" t="s">
        <v>10</v>
      </c>
      <c r="G136" s="5" t="s">
        <v>229</v>
      </c>
      <c r="H136" s="4">
        <v>3</v>
      </c>
      <c r="I136" s="4">
        <v>0</v>
      </c>
      <c r="J136" s="4">
        <v>0</v>
      </c>
      <c r="K136" s="4">
        <v>0</v>
      </c>
      <c r="L136" s="15">
        <f t="shared" ref="L136:L144" si="63">I136+J136+K136</f>
        <v>0</v>
      </c>
      <c r="M136" s="25" t="str">
        <f t="shared" ref="M136:M144" si="64">IFERROR(IF(TEXT(DATEVALUE(SUBSTITUTE(TRIM(MID($H$2,FIND("on",$H$2)+3,99)),"'","-")),"dddd")=B136,"Week Off",IF(H136="","",IF($H136=0,"Case Not Received",""))),"")</f>
        <v/>
      </c>
      <c r="N136" s="28">
        <f>(COUNTIF(I136:I144,"0"))/9</f>
        <v>0.22222222222222221</v>
      </c>
    </row>
    <row r="137" spans="1:14">
      <c r="A137" s="24" t="s">
        <v>1210</v>
      </c>
      <c r="B137" s="4" t="s">
        <v>803</v>
      </c>
      <c r="C137" s="5">
        <f>C136+1</f>
        <v>117</v>
      </c>
      <c r="D137" s="31"/>
      <c r="E137" s="32"/>
      <c r="F137" s="5" t="s">
        <v>230</v>
      </c>
      <c r="G137" s="5" t="s">
        <v>231</v>
      </c>
      <c r="H137" s="4">
        <v>3</v>
      </c>
      <c r="I137" s="4">
        <v>3</v>
      </c>
      <c r="J137" s="4">
        <v>0</v>
      </c>
      <c r="K137" s="4">
        <v>0</v>
      </c>
      <c r="L137" s="15">
        <f t="shared" si="63"/>
        <v>3</v>
      </c>
      <c r="M137" s="25" t="str">
        <f t="shared" si="64"/>
        <v/>
      </c>
      <c r="N137" s="28"/>
    </row>
    <row r="138" spans="1:14">
      <c r="A138" s="4" t="s">
        <v>918</v>
      </c>
      <c r="B138" s="4" t="s">
        <v>798</v>
      </c>
      <c r="C138" s="5">
        <f t="shared" ref="C138:C144" si="65">C137+1</f>
        <v>118</v>
      </c>
      <c r="D138" s="31"/>
      <c r="E138" s="32"/>
      <c r="F138" s="5" t="s">
        <v>232</v>
      </c>
      <c r="G138" s="5" t="s">
        <v>233</v>
      </c>
      <c r="H138" s="4">
        <v>1</v>
      </c>
      <c r="I138" s="4">
        <v>0</v>
      </c>
      <c r="J138" s="4">
        <v>0</v>
      </c>
      <c r="K138" s="4">
        <v>0</v>
      </c>
      <c r="L138" s="15">
        <f t="shared" si="63"/>
        <v>0</v>
      </c>
      <c r="M138" s="25" t="str">
        <f t="shared" si="64"/>
        <v>Week Off</v>
      </c>
      <c r="N138" s="28"/>
    </row>
    <row r="139" spans="1:14">
      <c r="A139" s="4" t="s">
        <v>917</v>
      </c>
      <c r="B139" s="4" t="s">
        <v>797</v>
      </c>
      <c r="C139" s="5">
        <f t="shared" si="65"/>
        <v>119</v>
      </c>
      <c r="D139" s="31"/>
      <c r="E139" s="32"/>
      <c r="F139" s="5" t="s">
        <v>234</v>
      </c>
      <c r="G139" s="5" t="s">
        <v>235</v>
      </c>
      <c r="H139" s="4">
        <v>2</v>
      </c>
      <c r="I139" s="4">
        <v>1</v>
      </c>
      <c r="J139" s="4">
        <v>0</v>
      </c>
      <c r="K139" s="4">
        <v>0</v>
      </c>
      <c r="L139" s="15">
        <f t="shared" si="63"/>
        <v>1</v>
      </c>
      <c r="M139" s="25" t="str">
        <f t="shared" si="64"/>
        <v/>
      </c>
      <c r="N139" s="28"/>
    </row>
    <row r="140" spans="1:14">
      <c r="A140" s="4" t="s">
        <v>919</v>
      </c>
      <c r="B140" s="4" t="s">
        <v>798</v>
      </c>
      <c r="C140" s="5">
        <f t="shared" si="65"/>
        <v>120</v>
      </c>
      <c r="D140" s="31"/>
      <c r="E140" s="32"/>
      <c r="F140" s="5" t="s">
        <v>236</v>
      </c>
      <c r="G140" s="5" t="s">
        <v>237</v>
      </c>
      <c r="H140" s="4">
        <v>3</v>
      </c>
      <c r="I140" s="4">
        <v>3</v>
      </c>
      <c r="J140" s="4">
        <v>0</v>
      </c>
      <c r="K140" s="4">
        <v>0</v>
      </c>
      <c r="L140" s="15">
        <f t="shared" si="63"/>
        <v>3</v>
      </c>
      <c r="M140" s="25" t="str">
        <f t="shared" si="64"/>
        <v>Week Off</v>
      </c>
      <c r="N140" s="28"/>
    </row>
    <row r="141" spans="1:14">
      <c r="A141" s="4" t="s">
        <v>920</v>
      </c>
      <c r="B141" s="4" t="s">
        <v>801</v>
      </c>
      <c r="C141" s="5">
        <f t="shared" si="65"/>
        <v>121</v>
      </c>
      <c r="D141" s="31"/>
      <c r="E141" s="32"/>
      <c r="F141" s="5" t="s">
        <v>238</v>
      </c>
      <c r="G141" s="5" t="s">
        <v>239</v>
      </c>
      <c r="H141" s="4">
        <v>4</v>
      </c>
      <c r="I141" s="4">
        <v>3</v>
      </c>
      <c r="J141" s="4">
        <v>0</v>
      </c>
      <c r="K141" s="4">
        <v>0</v>
      </c>
      <c r="L141" s="15">
        <f t="shared" si="63"/>
        <v>3</v>
      </c>
      <c r="M141" s="25" t="str">
        <f t="shared" si="64"/>
        <v/>
      </c>
      <c r="N141" s="28"/>
    </row>
    <row r="142" spans="1:14">
      <c r="A142" s="4" t="s">
        <v>921</v>
      </c>
      <c r="B142" s="4" t="s">
        <v>800</v>
      </c>
      <c r="C142" s="5">
        <f t="shared" si="65"/>
        <v>122</v>
      </c>
      <c r="D142" s="31"/>
      <c r="E142" s="32"/>
      <c r="F142" s="5" t="s">
        <v>240</v>
      </c>
      <c r="G142" s="5" t="s">
        <v>241</v>
      </c>
      <c r="H142" s="4">
        <v>2</v>
      </c>
      <c r="I142" s="4">
        <v>2</v>
      </c>
      <c r="J142" s="4">
        <v>0</v>
      </c>
      <c r="K142" s="4">
        <v>0</v>
      </c>
      <c r="L142" s="15">
        <f t="shared" si="63"/>
        <v>2</v>
      </c>
      <c r="M142" s="25" t="str">
        <f t="shared" si="64"/>
        <v/>
      </c>
      <c r="N142" s="28"/>
    </row>
    <row r="143" spans="1:14">
      <c r="A143" s="4" t="s">
        <v>922</v>
      </c>
      <c r="B143" s="4" t="s">
        <v>802</v>
      </c>
      <c r="C143" s="5">
        <f t="shared" si="65"/>
        <v>123</v>
      </c>
      <c r="D143" s="31"/>
      <c r="E143" s="32"/>
      <c r="F143" s="5" t="s">
        <v>242</v>
      </c>
      <c r="G143" s="5" t="s">
        <v>243</v>
      </c>
      <c r="H143" s="4">
        <v>10</v>
      </c>
      <c r="I143" s="4">
        <v>8</v>
      </c>
      <c r="J143" s="4">
        <v>0</v>
      </c>
      <c r="K143" s="4">
        <v>0</v>
      </c>
      <c r="L143" s="15">
        <f t="shared" si="63"/>
        <v>8</v>
      </c>
      <c r="M143" s="25" t="str">
        <f t="shared" si="64"/>
        <v/>
      </c>
      <c r="N143" s="28"/>
    </row>
    <row r="144" spans="1:14">
      <c r="A144" s="4" t="s">
        <v>923</v>
      </c>
      <c r="B144" s="4" t="s">
        <v>802</v>
      </c>
      <c r="C144" s="5">
        <f t="shared" si="65"/>
        <v>124</v>
      </c>
      <c r="D144" s="31"/>
      <c r="E144" s="32"/>
      <c r="F144" s="5" t="s">
        <v>244</v>
      </c>
      <c r="G144" s="5" t="s">
        <v>245</v>
      </c>
      <c r="H144" s="4">
        <v>10</v>
      </c>
      <c r="I144" s="4">
        <v>6</v>
      </c>
      <c r="J144" s="4">
        <v>0</v>
      </c>
      <c r="K144" s="4">
        <v>0</v>
      </c>
      <c r="L144" s="15">
        <f t="shared" si="63"/>
        <v>6</v>
      </c>
      <c r="M144" s="25" t="str">
        <f t="shared" si="64"/>
        <v/>
      </c>
      <c r="N144" s="28"/>
    </row>
    <row r="145" spans="1:14" ht="15.6">
      <c r="A145" s="4"/>
      <c r="B145" s="4"/>
      <c r="C145" s="5"/>
      <c r="D145" s="31"/>
      <c r="E145" s="6"/>
      <c r="F145" s="7" t="s">
        <v>32</v>
      </c>
      <c r="G145" s="7">
        <v>9</v>
      </c>
      <c r="H145" s="7">
        <f t="shared" ref="H145:L145" si="66">SUM(H136:H144)</f>
        <v>38</v>
      </c>
      <c r="I145" s="7">
        <f t="shared" si="66"/>
        <v>26</v>
      </c>
      <c r="J145" s="7">
        <f t="shared" si="66"/>
        <v>0</v>
      </c>
      <c r="K145" s="7">
        <f t="shared" si="66"/>
        <v>0</v>
      </c>
      <c r="L145" s="7">
        <f t="shared" si="66"/>
        <v>26</v>
      </c>
      <c r="M145" s="25"/>
      <c r="N145" s="28"/>
    </row>
    <row r="146" spans="1:14">
      <c r="A146" s="4" t="s">
        <v>924</v>
      </c>
      <c r="B146" s="4" t="s">
        <v>797</v>
      </c>
      <c r="C146" s="5">
        <f>C144+1</f>
        <v>125</v>
      </c>
      <c r="D146" s="31"/>
      <c r="E146" s="32" t="s">
        <v>246</v>
      </c>
      <c r="F146" s="5" t="s">
        <v>10</v>
      </c>
      <c r="G146" s="5" t="s">
        <v>247</v>
      </c>
      <c r="H146" s="4">
        <v>0</v>
      </c>
      <c r="I146" s="4">
        <v>0</v>
      </c>
      <c r="J146" s="4">
        <v>0</v>
      </c>
      <c r="K146" s="4">
        <v>0</v>
      </c>
      <c r="L146" s="15">
        <f t="shared" ref="L146:L154" si="67">I146+J146+K146</f>
        <v>0</v>
      </c>
      <c r="M146" s="25" t="str">
        <f t="shared" ref="M146:M154" si="68">IFERROR(IF(TEXT(DATEVALUE(SUBSTITUTE(TRIM(MID($H$2,FIND("on",$H$2)+3,99)),"'","-")),"dddd")=B146,"Week Off",IF(H146="","",IF($H146=0,"Case Not Received",""))),"")</f>
        <v>Case Not Received</v>
      </c>
      <c r="N146" s="28">
        <f>(COUNTIF(I146:I154,"0"))/9</f>
        <v>0.44444444444444442</v>
      </c>
    </row>
    <row r="147" spans="1:14">
      <c r="A147" s="4" t="s">
        <v>925</v>
      </c>
      <c r="B147" s="4" t="s">
        <v>803</v>
      </c>
      <c r="C147" s="5">
        <f>C146+1</f>
        <v>126</v>
      </c>
      <c r="D147" s="31"/>
      <c r="E147" s="32"/>
      <c r="F147" s="5" t="s">
        <v>248</v>
      </c>
      <c r="G147" s="5" t="s">
        <v>249</v>
      </c>
      <c r="H147" s="4">
        <v>9</v>
      </c>
      <c r="I147" s="4">
        <v>0</v>
      </c>
      <c r="J147" s="4">
        <v>0</v>
      </c>
      <c r="K147" s="4">
        <v>0</v>
      </c>
      <c r="L147" s="15">
        <f t="shared" si="67"/>
        <v>0</v>
      </c>
      <c r="M147" s="25" t="str">
        <f t="shared" si="68"/>
        <v/>
      </c>
      <c r="N147" s="28"/>
    </row>
    <row r="148" spans="1:14">
      <c r="A148" s="4" t="s">
        <v>926</v>
      </c>
      <c r="B148" s="4" t="s">
        <v>800</v>
      </c>
      <c r="C148" s="5">
        <f t="shared" ref="C148:C154" si="69">C147+1</f>
        <v>127</v>
      </c>
      <c r="D148" s="31"/>
      <c r="E148" s="32"/>
      <c r="F148" s="5" t="s">
        <v>250</v>
      </c>
      <c r="G148" s="5" t="s">
        <v>251</v>
      </c>
      <c r="H148" s="4">
        <v>8</v>
      </c>
      <c r="I148" s="4">
        <v>5</v>
      </c>
      <c r="J148" s="4">
        <v>0</v>
      </c>
      <c r="K148" s="4">
        <v>0</v>
      </c>
      <c r="L148" s="15">
        <f t="shared" si="67"/>
        <v>5</v>
      </c>
      <c r="M148" s="25" t="str">
        <f t="shared" si="68"/>
        <v/>
      </c>
      <c r="N148" s="28"/>
    </row>
    <row r="149" spans="1:14">
      <c r="A149" s="23" t="s">
        <v>1212</v>
      </c>
      <c r="B149" s="4" t="s">
        <v>799</v>
      </c>
      <c r="C149" s="5">
        <f t="shared" si="69"/>
        <v>128</v>
      </c>
      <c r="D149" s="31"/>
      <c r="E149" s="32"/>
      <c r="F149" s="5" t="s">
        <v>1205</v>
      </c>
      <c r="G149" s="5" t="s">
        <v>252</v>
      </c>
      <c r="H149" s="4">
        <v>10</v>
      </c>
      <c r="I149" s="4">
        <v>0</v>
      </c>
      <c r="J149" s="4">
        <v>0</v>
      </c>
      <c r="K149" s="4">
        <v>0</v>
      </c>
      <c r="L149" s="15">
        <f t="shared" si="67"/>
        <v>0</v>
      </c>
      <c r="M149" s="25" t="str">
        <f t="shared" si="68"/>
        <v/>
      </c>
      <c r="N149" s="28"/>
    </row>
    <row r="150" spans="1:14">
      <c r="A150" s="4" t="s">
        <v>927</v>
      </c>
      <c r="B150" s="4" t="s">
        <v>798</v>
      </c>
      <c r="C150" s="5">
        <f t="shared" si="69"/>
        <v>129</v>
      </c>
      <c r="D150" s="31"/>
      <c r="E150" s="32"/>
      <c r="F150" s="5" t="s">
        <v>253</v>
      </c>
      <c r="G150" s="5" t="s">
        <v>254</v>
      </c>
      <c r="H150" s="4">
        <v>10</v>
      </c>
      <c r="I150" s="4">
        <v>0</v>
      </c>
      <c r="J150" s="4">
        <v>0</v>
      </c>
      <c r="K150" s="4">
        <v>0</v>
      </c>
      <c r="L150" s="15">
        <f t="shared" si="67"/>
        <v>0</v>
      </c>
      <c r="M150" s="25" t="str">
        <f t="shared" si="68"/>
        <v>Week Off</v>
      </c>
      <c r="N150" s="28"/>
    </row>
    <row r="151" spans="1:14">
      <c r="A151" s="4" t="s">
        <v>928</v>
      </c>
      <c r="B151" s="4" t="s">
        <v>801</v>
      </c>
      <c r="C151" s="5">
        <f t="shared" si="69"/>
        <v>130</v>
      </c>
      <c r="D151" s="31"/>
      <c r="E151" s="32"/>
      <c r="F151" s="5" t="s">
        <v>255</v>
      </c>
      <c r="G151" s="5" t="s">
        <v>256</v>
      </c>
      <c r="H151" s="4">
        <v>3</v>
      </c>
      <c r="I151" s="4">
        <v>3</v>
      </c>
      <c r="J151" s="4">
        <v>0</v>
      </c>
      <c r="K151" s="4">
        <v>0</v>
      </c>
      <c r="L151" s="15">
        <f t="shared" si="67"/>
        <v>3</v>
      </c>
      <c r="M151" s="25" t="str">
        <f t="shared" si="68"/>
        <v/>
      </c>
      <c r="N151" s="28"/>
    </row>
    <row r="152" spans="1:14">
      <c r="A152" s="4" t="s">
        <v>929</v>
      </c>
      <c r="B152" s="4" t="s">
        <v>799</v>
      </c>
      <c r="C152" s="5">
        <f t="shared" si="69"/>
        <v>131</v>
      </c>
      <c r="D152" s="31"/>
      <c r="E152" s="32"/>
      <c r="F152" s="5" t="s">
        <v>257</v>
      </c>
      <c r="G152" s="5" t="s">
        <v>258</v>
      </c>
      <c r="H152" s="4">
        <v>8</v>
      </c>
      <c r="I152" s="4">
        <v>7</v>
      </c>
      <c r="J152" s="4">
        <v>0</v>
      </c>
      <c r="K152" s="4">
        <v>0</v>
      </c>
      <c r="L152" s="15">
        <f t="shared" si="67"/>
        <v>7</v>
      </c>
      <c r="M152" s="25" t="str">
        <f t="shared" si="68"/>
        <v/>
      </c>
      <c r="N152" s="28"/>
    </row>
    <row r="153" spans="1:14">
      <c r="A153" s="4" t="s">
        <v>930</v>
      </c>
      <c r="B153" s="4" t="s">
        <v>800</v>
      </c>
      <c r="C153" s="5">
        <f t="shared" si="69"/>
        <v>132</v>
      </c>
      <c r="D153" s="31"/>
      <c r="E153" s="32"/>
      <c r="F153" s="5" t="s">
        <v>257</v>
      </c>
      <c r="G153" s="5" t="s">
        <v>259</v>
      </c>
      <c r="H153" s="4">
        <v>10</v>
      </c>
      <c r="I153" s="4">
        <v>10</v>
      </c>
      <c r="J153" s="4">
        <v>0</v>
      </c>
      <c r="K153" s="4">
        <v>0</v>
      </c>
      <c r="L153" s="15">
        <f t="shared" si="67"/>
        <v>10</v>
      </c>
      <c r="M153" s="25" t="str">
        <f t="shared" si="68"/>
        <v/>
      </c>
      <c r="N153" s="28"/>
    </row>
    <row r="154" spans="1:14">
      <c r="A154" s="4" t="s">
        <v>931</v>
      </c>
      <c r="B154" s="4" t="s">
        <v>802</v>
      </c>
      <c r="C154" s="5">
        <f t="shared" si="69"/>
        <v>133</v>
      </c>
      <c r="D154" s="31"/>
      <c r="E154" s="32"/>
      <c r="F154" s="5" t="s">
        <v>260</v>
      </c>
      <c r="G154" s="5" t="s">
        <v>261</v>
      </c>
      <c r="H154" s="4">
        <v>4</v>
      </c>
      <c r="I154" s="4">
        <v>2</v>
      </c>
      <c r="J154" s="4">
        <v>0</v>
      </c>
      <c r="K154" s="4">
        <v>0</v>
      </c>
      <c r="L154" s="15">
        <f t="shared" si="67"/>
        <v>2</v>
      </c>
      <c r="M154" s="25" t="str">
        <f t="shared" si="68"/>
        <v/>
      </c>
      <c r="N154" s="28"/>
    </row>
    <row r="155" spans="1:14" ht="15.6">
      <c r="A155" s="4"/>
      <c r="B155" s="4"/>
      <c r="C155" s="5"/>
      <c r="D155" s="31"/>
      <c r="E155" s="6"/>
      <c r="F155" s="7" t="s">
        <v>32</v>
      </c>
      <c r="G155" s="7">
        <v>9</v>
      </c>
      <c r="H155" s="7">
        <f t="shared" ref="H155:L155" si="70">SUM(H146:H154)</f>
        <v>62</v>
      </c>
      <c r="I155" s="7">
        <f t="shared" si="70"/>
        <v>27</v>
      </c>
      <c r="J155" s="7">
        <f t="shared" si="70"/>
        <v>0</v>
      </c>
      <c r="K155" s="7">
        <f t="shared" si="70"/>
        <v>0</v>
      </c>
      <c r="L155" s="7">
        <f t="shared" si="70"/>
        <v>27</v>
      </c>
      <c r="M155" s="25"/>
      <c r="N155" s="28"/>
    </row>
    <row r="156" spans="1:14">
      <c r="A156" s="4" t="s">
        <v>932</v>
      </c>
      <c r="B156" s="4" t="s">
        <v>803</v>
      </c>
      <c r="C156" s="5">
        <f>C154+1</f>
        <v>134</v>
      </c>
      <c r="D156" s="31"/>
      <c r="E156" s="32" t="s">
        <v>262</v>
      </c>
      <c r="F156" s="4" t="s">
        <v>10</v>
      </c>
      <c r="G156" s="4" t="s">
        <v>263</v>
      </c>
      <c r="H156" s="4">
        <v>0</v>
      </c>
      <c r="I156" s="4">
        <v>0</v>
      </c>
      <c r="J156" s="4">
        <v>0</v>
      </c>
      <c r="K156" s="4">
        <v>0</v>
      </c>
      <c r="L156" s="15">
        <f t="shared" ref="L156:L159" si="71">I156+J156+K156</f>
        <v>0</v>
      </c>
      <c r="M156" s="25" t="str">
        <f t="shared" ref="M156:M159" si="72">IFERROR(IF(TEXT(DATEVALUE(SUBSTITUTE(TRIM(MID($H$2,FIND("on",$H$2)+3,99)),"'","-")),"dddd")=B156,"Week Off",IF(H156="","",IF($H156=0,"Case Not Received",""))),"")</f>
        <v>Case Not Received</v>
      </c>
      <c r="N156" s="27">
        <f>(COUNTIF(I156:I159,"0"))/4</f>
        <v>0.5</v>
      </c>
    </row>
    <row r="157" spans="1:14">
      <c r="A157" s="4" t="s">
        <v>933</v>
      </c>
      <c r="B157" s="4" t="s">
        <v>797</v>
      </c>
      <c r="C157" s="5">
        <f t="shared" ref="C157:C159" si="73">C156+1</f>
        <v>135</v>
      </c>
      <c r="D157" s="31"/>
      <c r="E157" s="32"/>
      <c r="F157" s="4" t="s">
        <v>264</v>
      </c>
      <c r="G157" s="4" t="s">
        <v>265</v>
      </c>
      <c r="H157" s="4">
        <v>0</v>
      </c>
      <c r="I157" s="4">
        <v>0</v>
      </c>
      <c r="J157" s="4">
        <v>0</v>
      </c>
      <c r="K157" s="4">
        <v>0</v>
      </c>
      <c r="L157" s="15">
        <f t="shared" si="71"/>
        <v>0</v>
      </c>
      <c r="M157" s="25" t="str">
        <f t="shared" si="72"/>
        <v>Case Not Received</v>
      </c>
      <c r="N157" s="27"/>
    </row>
    <row r="158" spans="1:14">
      <c r="A158" s="4" t="s">
        <v>934</v>
      </c>
      <c r="B158" s="4" t="s">
        <v>802</v>
      </c>
      <c r="C158" s="5">
        <f t="shared" si="73"/>
        <v>136</v>
      </c>
      <c r="D158" s="31"/>
      <c r="E158" s="32"/>
      <c r="F158" s="4" t="s">
        <v>264</v>
      </c>
      <c r="G158" s="4" t="s">
        <v>266</v>
      </c>
      <c r="H158" s="4">
        <v>1</v>
      </c>
      <c r="I158" s="4">
        <v>1</v>
      </c>
      <c r="J158" s="4">
        <v>0</v>
      </c>
      <c r="K158" s="4">
        <v>0</v>
      </c>
      <c r="L158" s="15">
        <f t="shared" si="71"/>
        <v>1</v>
      </c>
      <c r="M158" s="25" t="str">
        <f t="shared" si="72"/>
        <v/>
      </c>
      <c r="N158" s="27"/>
    </row>
    <row r="159" spans="1:14">
      <c r="A159" s="4" t="s">
        <v>935</v>
      </c>
      <c r="B159" s="4" t="s">
        <v>798</v>
      </c>
      <c r="C159" s="5">
        <f t="shared" si="73"/>
        <v>137</v>
      </c>
      <c r="D159" s="31"/>
      <c r="E159" s="32"/>
      <c r="F159" s="4" t="s">
        <v>267</v>
      </c>
      <c r="G159" s="4" t="s">
        <v>268</v>
      </c>
      <c r="H159" s="4">
        <v>6</v>
      </c>
      <c r="I159" s="4">
        <v>4</v>
      </c>
      <c r="J159" s="4">
        <v>0</v>
      </c>
      <c r="K159" s="4">
        <v>0</v>
      </c>
      <c r="L159" s="15">
        <f t="shared" si="71"/>
        <v>4</v>
      </c>
      <c r="M159" s="25" t="str">
        <f t="shared" si="72"/>
        <v>Week Off</v>
      </c>
      <c r="N159" s="27"/>
    </row>
    <row r="160" spans="1:14" ht="15.6">
      <c r="A160" s="4"/>
      <c r="B160" s="4"/>
      <c r="C160" s="5"/>
      <c r="D160" s="31"/>
      <c r="E160" s="6"/>
      <c r="F160" s="7" t="s">
        <v>32</v>
      </c>
      <c r="G160" s="7">
        <v>4</v>
      </c>
      <c r="H160" s="7">
        <f t="shared" ref="H160:L160" si="74">SUM(H156:H159)</f>
        <v>7</v>
      </c>
      <c r="I160" s="7">
        <f t="shared" si="74"/>
        <v>5</v>
      </c>
      <c r="J160" s="7">
        <f t="shared" si="74"/>
        <v>0</v>
      </c>
      <c r="K160" s="7">
        <f t="shared" si="74"/>
        <v>0</v>
      </c>
      <c r="L160" s="7">
        <f t="shared" si="74"/>
        <v>5</v>
      </c>
      <c r="M160" s="25"/>
      <c r="N160" s="27"/>
    </row>
    <row r="161" spans="1:14">
      <c r="A161" s="4" t="s">
        <v>936</v>
      </c>
      <c r="B161" s="4" t="s">
        <v>797</v>
      </c>
      <c r="C161" s="5">
        <f>C159+1</f>
        <v>138</v>
      </c>
      <c r="D161" s="31"/>
      <c r="E161" s="32" t="s">
        <v>269</v>
      </c>
      <c r="F161" s="5" t="s">
        <v>10</v>
      </c>
      <c r="G161" s="5" t="s">
        <v>270</v>
      </c>
      <c r="H161" s="4">
        <v>3</v>
      </c>
      <c r="I161" s="4">
        <v>3</v>
      </c>
      <c r="J161" s="4">
        <v>0</v>
      </c>
      <c r="K161" s="4">
        <v>0</v>
      </c>
      <c r="L161" s="15">
        <f t="shared" ref="L161:L174" si="75">I161+J161+K161</f>
        <v>3</v>
      </c>
      <c r="M161" s="25" t="str">
        <f t="shared" ref="M161:M174" si="76">IFERROR(IF(TEXT(DATEVALUE(SUBSTITUTE(TRIM(MID($H$2,FIND("on",$H$2)+3,99)),"'","-")),"dddd")=B161,"Week Off",IF(H161="","",IF($H161=0,"Case Not Received",""))),"")</f>
        <v/>
      </c>
      <c r="N161" s="28">
        <f>(COUNTIF(I161:I174,"0"))/14</f>
        <v>0.21428571428571427</v>
      </c>
    </row>
    <row r="162" spans="1:14">
      <c r="A162" s="4" t="s">
        <v>937</v>
      </c>
      <c r="B162" s="4" t="s">
        <v>802</v>
      </c>
      <c r="C162" s="5">
        <f>C161+1</f>
        <v>139</v>
      </c>
      <c r="D162" s="31"/>
      <c r="E162" s="32"/>
      <c r="F162" s="5" t="s">
        <v>271</v>
      </c>
      <c r="G162" s="5" t="s">
        <v>272</v>
      </c>
      <c r="H162" s="4">
        <v>11</v>
      </c>
      <c r="I162" s="4">
        <v>11</v>
      </c>
      <c r="J162" s="4">
        <v>0</v>
      </c>
      <c r="K162" s="4">
        <v>0</v>
      </c>
      <c r="L162" s="15">
        <f t="shared" si="75"/>
        <v>11</v>
      </c>
      <c r="M162" s="25" t="str">
        <f t="shared" si="76"/>
        <v/>
      </c>
      <c r="N162" s="28"/>
    </row>
    <row r="163" spans="1:14">
      <c r="A163" s="4" t="s">
        <v>938</v>
      </c>
      <c r="B163" s="4" t="s">
        <v>800</v>
      </c>
      <c r="C163" s="5">
        <f t="shared" ref="C163:C174" si="77">C162+1</f>
        <v>140</v>
      </c>
      <c r="D163" s="31"/>
      <c r="E163" s="32"/>
      <c r="F163" s="5" t="s">
        <v>273</v>
      </c>
      <c r="G163" s="5" t="s">
        <v>274</v>
      </c>
      <c r="H163" s="4">
        <v>7</v>
      </c>
      <c r="I163" s="4">
        <v>6</v>
      </c>
      <c r="J163" s="4">
        <v>0</v>
      </c>
      <c r="K163" s="4">
        <v>0</v>
      </c>
      <c r="L163" s="15">
        <f t="shared" si="75"/>
        <v>6</v>
      </c>
      <c r="M163" s="25" t="str">
        <f t="shared" si="76"/>
        <v/>
      </c>
      <c r="N163" s="28"/>
    </row>
    <row r="164" spans="1:14">
      <c r="A164" s="4" t="s">
        <v>939</v>
      </c>
      <c r="B164" s="4" t="s">
        <v>801</v>
      </c>
      <c r="C164" s="5">
        <f t="shared" si="77"/>
        <v>141</v>
      </c>
      <c r="D164" s="31"/>
      <c r="E164" s="32"/>
      <c r="F164" s="5" t="s">
        <v>275</v>
      </c>
      <c r="G164" s="5" t="s">
        <v>276</v>
      </c>
      <c r="H164" s="4">
        <v>2</v>
      </c>
      <c r="I164" s="4">
        <v>2</v>
      </c>
      <c r="J164" s="4">
        <v>0</v>
      </c>
      <c r="K164" s="4">
        <v>0</v>
      </c>
      <c r="L164" s="15">
        <f t="shared" si="75"/>
        <v>2</v>
      </c>
      <c r="M164" s="25" t="str">
        <f t="shared" si="76"/>
        <v/>
      </c>
      <c r="N164" s="28"/>
    </row>
    <row r="165" spans="1:14">
      <c r="A165" s="4" t="s">
        <v>940</v>
      </c>
      <c r="B165" s="4" t="s">
        <v>803</v>
      </c>
      <c r="C165" s="5">
        <f t="shared" si="77"/>
        <v>142</v>
      </c>
      <c r="D165" s="31"/>
      <c r="E165" s="32"/>
      <c r="F165" s="5" t="s">
        <v>277</v>
      </c>
      <c r="G165" s="5" t="s">
        <v>278</v>
      </c>
      <c r="H165" s="4">
        <v>5</v>
      </c>
      <c r="I165" s="4">
        <v>4</v>
      </c>
      <c r="J165" s="4">
        <v>0</v>
      </c>
      <c r="K165" s="4">
        <v>0</v>
      </c>
      <c r="L165" s="15">
        <f t="shared" si="75"/>
        <v>4</v>
      </c>
      <c r="M165" s="25" t="str">
        <f t="shared" si="76"/>
        <v/>
      </c>
      <c r="N165" s="28"/>
    </row>
    <row r="166" spans="1:14">
      <c r="A166" s="24" t="s">
        <v>1209</v>
      </c>
      <c r="B166" s="4" t="s">
        <v>798</v>
      </c>
      <c r="C166" s="5">
        <f t="shared" si="77"/>
        <v>143</v>
      </c>
      <c r="D166" s="31"/>
      <c r="E166" s="32"/>
      <c r="F166" s="5" t="s">
        <v>279</v>
      </c>
      <c r="G166" s="5" t="s">
        <v>280</v>
      </c>
      <c r="H166" s="4">
        <v>8</v>
      </c>
      <c r="I166" s="4">
        <v>0</v>
      </c>
      <c r="J166" s="4">
        <v>0</v>
      </c>
      <c r="K166" s="4">
        <v>0</v>
      </c>
      <c r="L166" s="15">
        <f t="shared" si="75"/>
        <v>0</v>
      </c>
      <c r="M166" s="25" t="str">
        <f t="shared" si="76"/>
        <v>Week Off</v>
      </c>
      <c r="N166" s="28"/>
    </row>
    <row r="167" spans="1:14">
      <c r="A167" s="4" t="s">
        <v>941</v>
      </c>
      <c r="B167" s="4" t="s">
        <v>798</v>
      </c>
      <c r="C167" s="5">
        <f t="shared" si="77"/>
        <v>144</v>
      </c>
      <c r="D167" s="31"/>
      <c r="E167" s="32"/>
      <c r="F167" s="5" t="s">
        <v>281</v>
      </c>
      <c r="G167" s="5" t="s">
        <v>282</v>
      </c>
      <c r="H167" s="4">
        <v>3</v>
      </c>
      <c r="I167" s="4">
        <v>0</v>
      </c>
      <c r="J167" s="4">
        <v>0</v>
      </c>
      <c r="K167" s="4">
        <v>0</v>
      </c>
      <c r="L167" s="15">
        <f t="shared" si="75"/>
        <v>0</v>
      </c>
      <c r="M167" s="25" t="str">
        <f t="shared" si="76"/>
        <v>Week Off</v>
      </c>
      <c r="N167" s="28"/>
    </row>
    <row r="168" spans="1:14">
      <c r="A168" s="4" t="s">
        <v>942</v>
      </c>
      <c r="B168" s="4" t="s">
        <v>802</v>
      </c>
      <c r="C168" s="5">
        <f t="shared" si="77"/>
        <v>145</v>
      </c>
      <c r="D168" s="31"/>
      <c r="E168" s="32"/>
      <c r="F168" s="5" t="s">
        <v>283</v>
      </c>
      <c r="G168" s="5" t="s">
        <v>284</v>
      </c>
      <c r="H168" s="4">
        <v>8</v>
      </c>
      <c r="I168" s="4">
        <v>7</v>
      </c>
      <c r="J168" s="4">
        <v>0</v>
      </c>
      <c r="K168" s="4">
        <v>0</v>
      </c>
      <c r="L168" s="15">
        <f t="shared" si="75"/>
        <v>7</v>
      </c>
      <c r="M168" s="25" t="str">
        <f t="shared" si="76"/>
        <v/>
      </c>
      <c r="N168" s="28"/>
    </row>
    <row r="169" spans="1:14">
      <c r="A169" s="4" t="s">
        <v>943</v>
      </c>
      <c r="B169" s="4" t="s">
        <v>801</v>
      </c>
      <c r="C169" s="5">
        <f t="shared" si="77"/>
        <v>146</v>
      </c>
      <c r="D169" s="31"/>
      <c r="E169" s="32"/>
      <c r="F169" s="5" t="s">
        <v>285</v>
      </c>
      <c r="G169" s="5" t="s">
        <v>286</v>
      </c>
      <c r="H169" s="4">
        <v>9</v>
      </c>
      <c r="I169" s="4">
        <v>5</v>
      </c>
      <c r="J169" s="4">
        <v>0</v>
      </c>
      <c r="K169" s="4">
        <v>0</v>
      </c>
      <c r="L169" s="15">
        <f t="shared" si="75"/>
        <v>5</v>
      </c>
      <c r="M169" s="25" t="str">
        <f t="shared" si="76"/>
        <v/>
      </c>
      <c r="N169" s="28"/>
    </row>
    <row r="170" spans="1:14">
      <c r="A170" s="4" t="s">
        <v>944</v>
      </c>
      <c r="B170" s="4" t="s">
        <v>799</v>
      </c>
      <c r="C170" s="5">
        <f t="shared" si="77"/>
        <v>147</v>
      </c>
      <c r="D170" s="31"/>
      <c r="E170" s="32"/>
      <c r="F170" s="5" t="s">
        <v>287</v>
      </c>
      <c r="G170" s="5" t="s">
        <v>288</v>
      </c>
      <c r="H170" s="4">
        <v>10</v>
      </c>
      <c r="I170" s="4">
        <v>7</v>
      </c>
      <c r="J170" s="4">
        <v>0</v>
      </c>
      <c r="K170" s="4">
        <v>0</v>
      </c>
      <c r="L170" s="15">
        <f t="shared" si="75"/>
        <v>7</v>
      </c>
      <c r="M170" s="25" t="str">
        <f t="shared" si="76"/>
        <v/>
      </c>
      <c r="N170" s="28"/>
    </row>
    <row r="171" spans="1:14">
      <c r="A171" s="4" t="s">
        <v>945</v>
      </c>
      <c r="B171" s="4" t="s">
        <v>797</v>
      </c>
      <c r="C171" s="5">
        <f t="shared" si="77"/>
        <v>148</v>
      </c>
      <c r="D171" s="31"/>
      <c r="E171" s="32"/>
      <c r="F171" s="5" t="s">
        <v>289</v>
      </c>
      <c r="G171" s="5" t="s">
        <v>290</v>
      </c>
      <c r="H171" s="4">
        <v>1</v>
      </c>
      <c r="I171" s="4">
        <v>0</v>
      </c>
      <c r="J171" s="4">
        <v>0</v>
      </c>
      <c r="K171" s="4">
        <v>0</v>
      </c>
      <c r="L171" s="15">
        <f t="shared" si="75"/>
        <v>0</v>
      </c>
      <c r="M171" s="25" t="str">
        <f t="shared" si="76"/>
        <v/>
      </c>
      <c r="N171" s="28"/>
    </row>
    <row r="172" spans="1:14">
      <c r="A172" s="4" t="s">
        <v>946</v>
      </c>
      <c r="B172" s="4" t="s">
        <v>799</v>
      </c>
      <c r="C172" s="5">
        <f t="shared" si="77"/>
        <v>149</v>
      </c>
      <c r="D172" s="31"/>
      <c r="E172" s="32"/>
      <c r="F172" s="5" t="s">
        <v>291</v>
      </c>
      <c r="G172" s="5" t="s">
        <v>292</v>
      </c>
      <c r="H172" s="4">
        <v>5</v>
      </c>
      <c r="I172" s="4">
        <v>2</v>
      </c>
      <c r="J172" s="4">
        <v>0</v>
      </c>
      <c r="K172" s="4">
        <v>0</v>
      </c>
      <c r="L172" s="15">
        <f t="shared" si="75"/>
        <v>2</v>
      </c>
      <c r="M172" s="25" t="str">
        <f t="shared" si="76"/>
        <v/>
      </c>
      <c r="N172" s="28"/>
    </row>
    <row r="173" spans="1:14">
      <c r="A173" s="4" t="s">
        <v>947</v>
      </c>
      <c r="B173" s="4" t="s">
        <v>800</v>
      </c>
      <c r="C173" s="5">
        <f t="shared" si="77"/>
        <v>150</v>
      </c>
      <c r="D173" s="31"/>
      <c r="E173" s="32"/>
      <c r="F173" s="5" t="s">
        <v>293</v>
      </c>
      <c r="G173" s="5" t="s">
        <v>294</v>
      </c>
      <c r="H173" s="4">
        <v>6</v>
      </c>
      <c r="I173" s="4">
        <v>4</v>
      </c>
      <c r="J173" s="4">
        <v>0</v>
      </c>
      <c r="K173" s="4">
        <v>0</v>
      </c>
      <c r="L173" s="15">
        <f t="shared" si="75"/>
        <v>4</v>
      </c>
      <c r="M173" s="25" t="str">
        <f t="shared" si="76"/>
        <v/>
      </c>
      <c r="N173" s="28"/>
    </row>
    <row r="174" spans="1:14">
      <c r="A174" s="4" t="s">
        <v>948</v>
      </c>
      <c r="B174" s="4" t="s">
        <v>803</v>
      </c>
      <c r="C174" s="5">
        <f t="shared" si="77"/>
        <v>151</v>
      </c>
      <c r="D174" s="31"/>
      <c r="E174" s="32"/>
      <c r="F174" s="5" t="s">
        <v>295</v>
      </c>
      <c r="G174" s="5" t="s">
        <v>296</v>
      </c>
      <c r="H174" s="4">
        <v>10</v>
      </c>
      <c r="I174" s="4">
        <v>7</v>
      </c>
      <c r="J174" s="4">
        <v>0</v>
      </c>
      <c r="K174" s="4">
        <v>0</v>
      </c>
      <c r="L174" s="15">
        <f t="shared" si="75"/>
        <v>7</v>
      </c>
      <c r="M174" s="25" t="str">
        <f t="shared" si="76"/>
        <v/>
      </c>
      <c r="N174" s="28"/>
    </row>
    <row r="175" spans="1:14" ht="15.6">
      <c r="A175" s="4"/>
      <c r="B175" s="4"/>
      <c r="C175" s="5"/>
      <c r="D175" s="31"/>
      <c r="E175" s="6"/>
      <c r="F175" s="7" t="s">
        <v>32</v>
      </c>
      <c r="G175" s="7">
        <v>14</v>
      </c>
      <c r="H175" s="7">
        <f t="shared" ref="H175:L175" si="78">SUM(H161:H174)</f>
        <v>88</v>
      </c>
      <c r="I175" s="7">
        <f t="shared" si="78"/>
        <v>58</v>
      </c>
      <c r="J175" s="7">
        <f t="shared" si="78"/>
        <v>0</v>
      </c>
      <c r="K175" s="7">
        <f t="shared" si="78"/>
        <v>0</v>
      </c>
      <c r="L175" s="7">
        <f t="shared" si="78"/>
        <v>58</v>
      </c>
      <c r="M175" s="25"/>
      <c r="N175" s="28"/>
    </row>
    <row r="176" spans="1:14">
      <c r="A176" s="4" t="s">
        <v>949</v>
      </c>
      <c r="B176" s="4" t="s">
        <v>797</v>
      </c>
      <c r="C176" s="5">
        <f>C174+1</f>
        <v>152</v>
      </c>
      <c r="D176" s="31"/>
      <c r="E176" s="32" t="s">
        <v>227</v>
      </c>
      <c r="F176" s="4" t="s">
        <v>10</v>
      </c>
      <c r="G176" s="4" t="s">
        <v>297</v>
      </c>
      <c r="H176" s="4">
        <v>6</v>
      </c>
      <c r="I176" s="4">
        <v>3</v>
      </c>
      <c r="J176" s="4">
        <v>0</v>
      </c>
      <c r="K176" s="4">
        <v>0</v>
      </c>
      <c r="L176" s="15">
        <f t="shared" ref="L176:L180" si="79">I176+J176+K176</f>
        <v>3</v>
      </c>
      <c r="M176" s="25" t="str">
        <f t="shared" ref="M176:M180" si="80">IFERROR(IF(TEXT(DATEVALUE(SUBSTITUTE(TRIM(MID($H$2,FIND("on",$H$2)+3,99)),"'","-")),"dddd")=B176,"Week Off",IF(H176="","",IF($H176=0,"Case Not Received",""))),"")</f>
        <v/>
      </c>
      <c r="N176" s="27">
        <f>(COUNTIF(I176:I180,"0"))/5</f>
        <v>0.4</v>
      </c>
    </row>
    <row r="177" spans="1:14">
      <c r="A177" s="24" t="s">
        <v>1214</v>
      </c>
      <c r="B177" s="4" t="s">
        <v>797</v>
      </c>
      <c r="C177" s="5">
        <f>C176+1</f>
        <v>153</v>
      </c>
      <c r="D177" s="31"/>
      <c r="E177" s="32"/>
      <c r="F177" s="4" t="s">
        <v>298</v>
      </c>
      <c r="G177" s="4" t="s">
        <v>299</v>
      </c>
      <c r="H177" s="4">
        <v>1</v>
      </c>
      <c r="I177" s="4">
        <v>1</v>
      </c>
      <c r="J177" s="4">
        <v>0</v>
      </c>
      <c r="K177" s="4">
        <v>0</v>
      </c>
      <c r="L177" s="15">
        <f t="shared" si="79"/>
        <v>1</v>
      </c>
      <c r="M177" s="25" t="str">
        <f t="shared" si="80"/>
        <v/>
      </c>
      <c r="N177" s="27"/>
    </row>
    <row r="178" spans="1:14">
      <c r="A178" s="4" t="s">
        <v>950</v>
      </c>
      <c r="B178" s="4" t="s">
        <v>802</v>
      </c>
      <c r="C178" s="5">
        <f t="shared" ref="C178:C180" si="81">C177+1</f>
        <v>154</v>
      </c>
      <c r="D178" s="31"/>
      <c r="E178" s="32"/>
      <c r="F178" s="4" t="s">
        <v>300</v>
      </c>
      <c r="G178" s="4" t="s">
        <v>301</v>
      </c>
      <c r="H178" s="4">
        <v>13</v>
      </c>
      <c r="I178" s="4">
        <v>2</v>
      </c>
      <c r="J178" s="4">
        <v>0</v>
      </c>
      <c r="K178" s="4">
        <v>0</v>
      </c>
      <c r="L178" s="15">
        <f t="shared" si="79"/>
        <v>2</v>
      </c>
      <c r="M178" s="25" t="str">
        <f t="shared" si="80"/>
        <v/>
      </c>
      <c r="N178" s="27"/>
    </row>
    <row r="179" spans="1:14">
      <c r="A179" s="4" t="s">
        <v>951</v>
      </c>
      <c r="B179" s="4" t="s">
        <v>800</v>
      </c>
      <c r="C179" s="5">
        <f t="shared" si="81"/>
        <v>155</v>
      </c>
      <c r="D179" s="31"/>
      <c r="E179" s="32"/>
      <c r="F179" s="4" t="s">
        <v>302</v>
      </c>
      <c r="G179" s="4" t="s">
        <v>303</v>
      </c>
      <c r="H179" s="4">
        <v>8</v>
      </c>
      <c r="I179" s="4">
        <v>0</v>
      </c>
      <c r="J179" s="4">
        <v>0</v>
      </c>
      <c r="K179" s="4">
        <v>0</v>
      </c>
      <c r="L179" s="15">
        <f t="shared" si="79"/>
        <v>0</v>
      </c>
      <c r="M179" s="25" t="str">
        <f t="shared" si="80"/>
        <v/>
      </c>
      <c r="N179" s="27"/>
    </row>
    <row r="180" spans="1:14">
      <c r="A180" s="4" t="s">
        <v>952</v>
      </c>
      <c r="B180" s="4" t="s">
        <v>798</v>
      </c>
      <c r="C180" s="5">
        <f t="shared" si="81"/>
        <v>156</v>
      </c>
      <c r="D180" s="31"/>
      <c r="E180" s="32"/>
      <c r="F180" s="4" t="s">
        <v>304</v>
      </c>
      <c r="G180" s="4" t="s">
        <v>305</v>
      </c>
      <c r="H180" s="4">
        <v>3</v>
      </c>
      <c r="I180" s="4">
        <v>0</v>
      </c>
      <c r="J180" s="4">
        <v>0</v>
      </c>
      <c r="K180" s="4">
        <v>0</v>
      </c>
      <c r="L180" s="15">
        <f t="shared" si="79"/>
        <v>0</v>
      </c>
      <c r="M180" s="25" t="str">
        <f t="shared" si="80"/>
        <v>Week Off</v>
      </c>
      <c r="N180" s="27"/>
    </row>
    <row r="181" spans="1:14" ht="15.6">
      <c r="A181" s="4"/>
      <c r="B181" s="4"/>
      <c r="C181" s="5"/>
      <c r="D181" s="31"/>
      <c r="E181" s="6"/>
      <c r="F181" s="7" t="s">
        <v>32</v>
      </c>
      <c r="G181" s="7">
        <v>5</v>
      </c>
      <c r="H181" s="7">
        <f t="shared" ref="H181:L181" si="82">SUM(H176:H180)</f>
        <v>31</v>
      </c>
      <c r="I181" s="7">
        <f t="shared" si="82"/>
        <v>6</v>
      </c>
      <c r="J181" s="7">
        <f t="shared" si="82"/>
        <v>0</v>
      </c>
      <c r="K181" s="7">
        <f t="shared" si="82"/>
        <v>0</v>
      </c>
      <c r="L181" s="7">
        <f t="shared" si="82"/>
        <v>6</v>
      </c>
      <c r="M181" s="25"/>
      <c r="N181" s="27"/>
    </row>
    <row r="182" spans="1:14">
      <c r="A182" s="4" t="s">
        <v>953</v>
      </c>
      <c r="B182" s="4" t="s">
        <v>797</v>
      </c>
      <c r="C182" s="5">
        <f>C180+1</f>
        <v>157</v>
      </c>
      <c r="D182" s="31"/>
      <c r="E182" s="32" t="s">
        <v>306</v>
      </c>
      <c r="F182" s="4" t="s">
        <v>10</v>
      </c>
      <c r="G182" s="4" t="s">
        <v>307</v>
      </c>
      <c r="H182" s="4">
        <v>13</v>
      </c>
      <c r="I182" s="4">
        <v>0</v>
      </c>
      <c r="J182" s="4">
        <v>0</v>
      </c>
      <c r="K182" s="4">
        <v>0</v>
      </c>
      <c r="L182" s="15">
        <f t="shared" ref="L182:L189" si="83">I182+J182+K182</f>
        <v>0</v>
      </c>
      <c r="M182" s="25" t="str">
        <f t="shared" ref="M182:M189" si="84">IFERROR(IF(TEXT(DATEVALUE(SUBSTITUTE(TRIM(MID($H$2,FIND("on",$H$2)+3,99)),"'","-")),"dddd")=B182,"Week Off",IF(H182="","",IF($H182=0,"Case Not Received",""))),"")</f>
        <v/>
      </c>
      <c r="N182" s="27">
        <f>(COUNTIF(I182:I189,"0"))/8</f>
        <v>0.5</v>
      </c>
    </row>
    <row r="183" spans="1:14">
      <c r="A183" s="4" t="s">
        <v>954</v>
      </c>
      <c r="B183" s="4" t="s">
        <v>803</v>
      </c>
      <c r="C183" s="5">
        <f>C182+1</f>
        <v>158</v>
      </c>
      <c r="D183" s="31"/>
      <c r="E183" s="32"/>
      <c r="F183" s="4" t="s">
        <v>308</v>
      </c>
      <c r="G183" s="4" t="s">
        <v>309</v>
      </c>
      <c r="H183" s="4">
        <v>7</v>
      </c>
      <c r="I183" s="4">
        <v>0</v>
      </c>
      <c r="J183" s="4">
        <v>0</v>
      </c>
      <c r="K183" s="4">
        <v>0</v>
      </c>
      <c r="L183" s="15">
        <f t="shared" si="83"/>
        <v>0</v>
      </c>
      <c r="M183" s="25" t="str">
        <f t="shared" si="84"/>
        <v/>
      </c>
      <c r="N183" s="27"/>
    </row>
    <row r="184" spans="1:14">
      <c r="A184" s="4" t="s">
        <v>959</v>
      </c>
      <c r="B184" s="4" t="s">
        <v>800</v>
      </c>
      <c r="C184" s="5">
        <f t="shared" ref="C184:C189" si="85">C183+1</f>
        <v>159</v>
      </c>
      <c r="D184" s="31"/>
      <c r="E184" s="32"/>
      <c r="F184" s="4" t="s">
        <v>310</v>
      </c>
      <c r="G184" s="4" t="s">
        <v>311</v>
      </c>
      <c r="H184" s="4">
        <v>6</v>
      </c>
      <c r="I184" s="4">
        <v>6</v>
      </c>
      <c r="J184" s="4">
        <v>0</v>
      </c>
      <c r="K184" s="4">
        <v>0</v>
      </c>
      <c r="L184" s="15">
        <f t="shared" si="83"/>
        <v>6</v>
      </c>
      <c r="M184" s="25" t="str">
        <f t="shared" si="84"/>
        <v/>
      </c>
      <c r="N184" s="27"/>
    </row>
    <row r="185" spans="1:14">
      <c r="A185" s="4" t="s">
        <v>956</v>
      </c>
      <c r="B185" s="4" t="s">
        <v>799</v>
      </c>
      <c r="C185" s="5">
        <f t="shared" si="85"/>
        <v>160</v>
      </c>
      <c r="D185" s="31"/>
      <c r="E185" s="32"/>
      <c r="F185" s="4" t="s">
        <v>312</v>
      </c>
      <c r="G185" s="4" t="s">
        <v>313</v>
      </c>
      <c r="H185" s="4">
        <v>3</v>
      </c>
      <c r="I185" s="4">
        <v>3</v>
      </c>
      <c r="J185" s="4">
        <v>0</v>
      </c>
      <c r="K185" s="4">
        <v>0</v>
      </c>
      <c r="L185" s="15">
        <f t="shared" si="83"/>
        <v>3</v>
      </c>
      <c r="M185" s="25" t="str">
        <f t="shared" si="84"/>
        <v/>
      </c>
      <c r="N185" s="27"/>
    </row>
    <row r="186" spans="1:14">
      <c r="A186" s="4" t="s">
        <v>957</v>
      </c>
      <c r="B186" s="4" t="s">
        <v>798</v>
      </c>
      <c r="C186" s="5">
        <f t="shared" si="85"/>
        <v>161</v>
      </c>
      <c r="D186" s="31"/>
      <c r="E186" s="32"/>
      <c r="F186" s="4" t="s">
        <v>312</v>
      </c>
      <c r="G186" s="4" t="s">
        <v>314</v>
      </c>
      <c r="H186" s="4">
        <v>1</v>
      </c>
      <c r="I186" s="4">
        <v>0</v>
      </c>
      <c r="J186" s="4">
        <v>0</v>
      </c>
      <c r="K186" s="4">
        <v>0</v>
      </c>
      <c r="L186" s="15">
        <f t="shared" si="83"/>
        <v>0</v>
      </c>
      <c r="M186" s="25" t="str">
        <f t="shared" si="84"/>
        <v>Week Off</v>
      </c>
      <c r="N186" s="27"/>
    </row>
    <row r="187" spans="1:14">
      <c r="A187" s="4" t="s">
        <v>958</v>
      </c>
      <c r="B187" s="4" t="s">
        <v>798</v>
      </c>
      <c r="C187" s="5">
        <f t="shared" si="85"/>
        <v>162</v>
      </c>
      <c r="D187" s="31"/>
      <c r="E187" s="32"/>
      <c r="F187" s="4" t="s">
        <v>315</v>
      </c>
      <c r="G187" s="4" t="s">
        <v>316</v>
      </c>
      <c r="H187" s="4">
        <v>11</v>
      </c>
      <c r="I187" s="4">
        <v>7</v>
      </c>
      <c r="J187" s="4">
        <v>0</v>
      </c>
      <c r="K187" s="4">
        <v>0</v>
      </c>
      <c r="L187" s="15">
        <f t="shared" si="83"/>
        <v>7</v>
      </c>
      <c r="M187" s="25" t="str">
        <f t="shared" si="84"/>
        <v>Week Off</v>
      </c>
      <c r="N187" s="27"/>
    </row>
    <row r="188" spans="1:14">
      <c r="A188" s="4" t="s">
        <v>955</v>
      </c>
      <c r="B188" s="4" t="s">
        <v>801</v>
      </c>
      <c r="C188" s="5">
        <f t="shared" si="85"/>
        <v>163</v>
      </c>
      <c r="D188" s="31"/>
      <c r="E188" s="32"/>
      <c r="F188" s="4" t="s">
        <v>317</v>
      </c>
      <c r="G188" s="4" t="s">
        <v>318</v>
      </c>
      <c r="H188" s="4">
        <v>7</v>
      </c>
      <c r="I188" s="4">
        <v>5</v>
      </c>
      <c r="J188" s="4">
        <v>0</v>
      </c>
      <c r="K188" s="4">
        <v>0</v>
      </c>
      <c r="L188" s="15">
        <f t="shared" si="83"/>
        <v>5</v>
      </c>
      <c r="M188" s="25" t="str">
        <f t="shared" si="84"/>
        <v/>
      </c>
      <c r="N188" s="27"/>
    </row>
    <row r="189" spans="1:14">
      <c r="A189" s="4" t="s">
        <v>960</v>
      </c>
      <c r="B189" s="4" t="s">
        <v>802</v>
      </c>
      <c r="C189" s="5">
        <f t="shared" si="85"/>
        <v>164</v>
      </c>
      <c r="D189" s="31"/>
      <c r="E189" s="32"/>
      <c r="F189" s="4" t="s">
        <v>319</v>
      </c>
      <c r="G189" s="4" t="s">
        <v>320</v>
      </c>
      <c r="H189" s="4">
        <v>5</v>
      </c>
      <c r="I189" s="4">
        <v>0</v>
      </c>
      <c r="J189" s="4">
        <v>0</v>
      </c>
      <c r="K189" s="4">
        <v>0</v>
      </c>
      <c r="L189" s="15">
        <f t="shared" si="83"/>
        <v>0</v>
      </c>
      <c r="M189" s="25" t="str">
        <f t="shared" si="84"/>
        <v/>
      </c>
      <c r="N189" s="27"/>
    </row>
    <row r="190" spans="1:14" ht="15.6">
      <c r="A190" s="4"/>
      <c r="B190" s="4"/>
      <c r="C190" s="5"/>
      <c r="D190" s="31"/>
      <c r="E190" s="6"/>
      <c r="F190" s="7" t="s">
        <v>32</v>
      </c>
      <c r="G190" s="7">
        <v>8</v>
      </c>
      <c r="H190" s="7">
        <f t="shared" ref="H190:L190" si="86">SUM(H182:H189)</f>
        <v>53</v>
      </c>
      <c r="I190" s="7">
        <f t="shared" si="86"/>
        <v>21</v>
      </c>
      <c r="J190" s="7">
        <f t="shared" si="86"/>
        <v>0</v>
      </c>
      <c r="K190" s="7">
        <f t="shared" si="86"/>
        <v>0</v>
      </c>
      <c r="L190" s="7">
        <f t="shared" si="86"/>
        <v>21</v>
      </c>
      <c r="M190" s="25"/>
      <c r="N190" s="27"/>
    </row>
    <row r="191" spans="1:14">
      <c r="A191" s="4" t="s">
        <v>961</v>
      </c>
      <c r="B191" s="4" t="s">
        <v>797</v>
      </c>
      <c r="C191" s="5">
        <f>C189+1</f>
        <v>165</v>
      </c>
      <c r="D191" s="31"/>
      <c r="E191" s="32" t="s">
        <v>321</v>
      </c>
      <c r="F191" s="4" t="s">
        <v>10</v>
      </c>
      <c r="G191" s="4" t="s">
        <v>322</v>
      </c>
      <c r="H191" s="4">
        <v>8</v>
      </c>
      <c r="I191" s="4">
        <v>5</v>
      </c>
      <c r="J191" s="4">
        <v>0</v>
      </c>
      <c r="K191" s="4">
        <v>0</v>
      </c>
      <c r="L191" s="15">
        <f t="shared" ref="L191:L198" si="87">I191+J191+K191</f>
        <v>5</v>
      </c>
      <c r="M191" s="25" t="str">
        <f t="shared" ref="M191:M198" si="88">IFERROR(IF(TEXT(DATEVALUE(SUBSTITUTE(TRIM(MID($H$2,FIND("on",$H$2)+3,99)),"'","-")),"dddd")=B191,"Week Off",IF(H191="","",IF($H191=0,"Case Not Received",""))),"")</f>
        <v/>
      </c>
      <c r="N191" s="27">
        <f>(COUNTIF(I191:I198,"0"))/8</f>
        <v>0.25</v>
      </c>
    </row>
    <row r="192" spans="1:14">
      <c r="A192" s="4" t="s">
        <v>962</v>
      </c>
      <c r="B192" s="4" t="s">
        <v>802</v>
      </c>
      <c r="C192" s="5">
        <f>C191+1</f>
        <v>166</v>
      </c>
      <c r="D192" s="31"/>
      <c r="E192" s="32"/>
      <c r="F192" s="4" t="s">
        <v>323</v>
      </c>
      <c r="G192" s="4" t="s">
        <v>324</v>
      </c>
      <c r="H192" s="4">
        <v>6</v>
      </c>
      <c r="I192" s="4">
        <v>5</v>
      </c>
      <c r="J192" s="4">
        <v>0</v>
      </c>
      <c r="K192" s="4">
        <v>0</v>
      </c>
      <c r="L192" s="15">
        <f t="shared" si="87"/>
        <v>5</v>
      </c>
      <c r="M192" s="25" t="str">
        <f t="shared" si="88"/>
        <v/>
      </c>
      <c r="N192" s="27"/>
    </row>
    <row r="193" spans="1:14">
      <c r="A193" s="4" t="s">
        <v>963</v>
      </c>
      <c r="B193" s="4" t="s">
        <v>803</v>
      </c>
      <c r="C193" s="5">
        <f t="shared" ref="C193:C211" si="89">C192+1</f>
        <v>167</v>
      </c>
      <c r="D193" s="31"/>
      <c r="E193" s="32"/>
      <c r="F193" s="4" t="s">
        <v>325</v>
      </c>
      <c r="G193" s="4" t="s">
        <v>326</v>
      </c>
      <c r="H193" s="4">
        <v>11</v>
      </c>
      <c r="I193" s="4">
        <v>7</v>
      </c>
      <c r="J193" s="4">
        <v>0</v>
      </c>
      <c r="K193" s="4">
        <v>0</v>
      </c>
      <c r="L193" s="15">
        <f t="shared" si="87"/>
        <v>7</v>
      </c>
      <c r="M193" s="25" t="str">
        <f t="shared" si="88"/>
        <v/>
      </c>
      <c r="N193" s="27"/>
    </row>
    <row r="194" spans="1:14">
      <c r="A194" s="4" t="s">
        <v>964</v>
      </c>
      <c r="B194" s="4" t="s">
        <v>802</v>
      </c>
      <c r="C194" s="5">
        <f t="shared" si="89"/>
        <v>168</v>
      </c>
      <c r="D194" s="31"/>
      <c r="E194" s="32"/>
      <c r="F194" s="4" t="s">
        <v>327</v>
      </c>
      <c r="G194" s="4" t="s">
        <v>328</v>
      </c>
      <c r="H194" s="4">
        <v>10</v>
      </c>
      <c r="I194" s="4">
        <v>0</v>
      </c>
      <c r="J194" s="4">
        <v>0</v>
      </c>
      <c r="K194" s="4">
        <v>0</v>
      </c>
      <c r="L194" s="15">
        <f t="shared" si="87"/>
        <v>0</v>
      </c>
      <c r="M194" s="25" t="str">
        <f t="shared" si="88"/>
        <v/>
      </c>
      <c r="N194" s="27"/>
    </row>
    <row r="195" spans="1:14">
      <c r="A195" s="4" t="s">
        <v>965</v>
      </c>
      <c r="B195" s="4" t="s">
        <v>801</v>
      </c>
      <c r="C195" s="5">
        <f t="shared" si="89"/>
        <v>169</v>
      </c>
      <c r="D195" s="31"/>
      <c r="E195" s="32"/>
      <c r="F195" s="4" t="s">
        <v>329</v>
      </c>
      <c r="G195" s="4" t="s">
        <v>330</v>
      </c>
      <c r="H195" s="4">
        <v>7</v>
      </c>
      <c r="I195" s="4">
        <v>6</v>
      </c>
      <c r="J195" s="4">
        <v>0</v>
      </c>
      <c r="K195" s="4">
        <v>0</v>
      </c>
      <c r="L195" s="15">
        <f t="shared" si="87"/>
        <v>6</v>
      </c>
      <c r="M195" s="25" t="str">
        <f t="shared" si="88"/>
        <v/>
      </c>
      <c r="N195" s="27"/>
    </row>
    <row r="196" spans="1:14">
      <c r="A196" s="4" t="s">
        <v>966</v>
      </c>
      <c r="B196" s="4" t="s">
        <v>797</v>
      </c>
      <c r="C196" s="5">
        <f t="shared" si="89"/>
        <v>170</v>
      </c>
      <c r="D196" s="31"/>
      <c r="E196" s="32"/>
      <c r="F196" s="4" t="s">
        <v>331</v>
      </c>
      <c r="G196" s="4" t="s">
        <v>332</v>
      </c>
      <c r="H196" s="4">
        <v>13</v>
      </c>
      <c r="I196" s="4">
        <v>9</v>
      </c>
      <c r="J196" s="4">
        <v>0</v>
      </c>
      <c r="K196" s="4">
        <v>0</v>
      </c>
      <c r="L196" s="15">
        <f t="shared" si="87"/>
        <v>9</v>
      </c>
      <c r="M196" s="25" t="str">
        <f t="shared" si="88"/>
        <v/>
      </c>
      <c r="N196" s="27"/>
    </row>
    <row r="197" spans="1:14">
      <c r="A197" s="4" t="s">
        <v>967</v>
      </c>
      <c r="B197" s="4" t="s">
        <v>803</v>
      </c>
      <c r="C197" s="5">
        <f t="shared" si="89"/>
        <v>171</v>
      </c>
      <c r="D197" s="31"/>
      <c r="E197" s="32"/>
      <c r="F197" s="4" t="s">
        <v>333</v>
      </c>
      <c r="G197" s="4" t="s">
        <v>334</v>
      </c>
      <c r="H197" s="4">
        <v>4</v>
      </c>
      <c r="I197" s="4">
        <v>2</v>
      </c>
      <c r="J197" s="4">
        <v>0</v>
      </c>
      <c r="K197" s="4">
        <v>0</v>
      </c>
      <c r="L197" s="15">
        <f t="shared" si="87"/>
        <v>2</v>
      </c>
      <c r="M197" s="25" t="str">
        <f t="shared" si="88"/>
        <v/>
      </c>
      <c r="N197" s="27"/>
    </row>
    <row r="198" spans="1:14">
      <c r="A198" s="4" t="s">
        <v>968</v>
      </c>
      <c r="B198" s="4" t="s">
        <v>801</v>
      </c>
      <c r="C198" s="5">
        <f t="shared" si="89"/>
        <v>172</v>
      </c>
      <c r="D198" s="31"/>
      <c r="E198" s="32"/>
      <c r="F198" s="4" t="s">
        <v>335</v>
      </c>
      <c r="G198" s="4" t="s">
        <v>336</v>
      </c>
      <c r="H198" s="4">
        <v>4</v>
      </c>
      <c r="I198" s="4">
        <v>0</v>
      </c>
      <c r="J198" s="4">
        <v>0</v>
      </c>
      <c r="K198" s="4">
        <v>0</v>
      </c>
      <c r="L198" s="15">
        <f t="shared" si="87"/>
        <v>0</v>
      </c>
      <c r="M198" s="25" t="str">
        <f t="shared" si="88"/>
        <v/>
      </c>
      <c r="N198" s="27"/>
    </row>
    <row r="199" spans="1:14" ht="15.6">
      <c r="A199" s="4"/>
      <c r="B199" s="4"/>
      <c r="C199" s="5"/>
      <c r="D199" s="31"/>
      <c r="E199" s="6"/>
      <c r="F199" s="7" t="s">
        <v>32</v>
      </c>
      <c r="G199" s="7">
        <v>8</v>
      </c>
      <c r="H199" s="7">
        <f t="shared" ref="H199:L199" si="90">SUM(H191:H198)</f>
        <v>63</v>
      </c>
      <c r="I199" s="7">
        <f t="shared" si="90"/>
        <v>34</v>
      </c>
      <c r="J199" s="7">
        <f t="shared" si="90"/>
        <v>0</v>
      </c>
      <c r="K199" s="7">
        <f t="shared" si="90"/>
        <v>0</v>
      </c>
      <c r="L199" s="7">
        <f t="shared" si="90"/>
        <v>34</v>
      </c>
      <c r="M199" s="25"/>
      <c r="N199" s="27"/>
    </row>
    <row r="200" spans="1:14">
      <c r="A200" s="4" t="s">
        <v>969</v>
      </c>
      <c r="B200" s="4" t="s">
        <v>800</v>
      </c>
      <c r="C200" s="5">
        <f>C198+1</f>
        <v>173</v>
      </c>
      <c r="D200" s="31"/>
      <c r="E200" s="32" t="s">
        <v>337</v>
      </c>
      <c r="F200" s="5" t="s">
        <v>10</v>
      </c>
      <c r="G200" s="5" t="s">
        <v>338</v>
      </c>
      <c r="H200" s="4">
        <v>1</v>
      </c>
      <c r="I200" s="4">
        <v>1</v>
      </c>
      <c r="J200" s="4">
        <v>0</v>
      </c>
      <c r="K200" s="4">
        <v>0</v>
      </c>
      <c r="L200" s="15">
        <f t="shared" ref="L200:L211" si="91">I200+J200+K200</f>
        <v>1</v>
      </c>
      <c r="M200" s="25" t="str">
        <f t="shared" ref="M200:M211" si="92">IFERROR(IF(TEXT(DATEVALUE(SUBSTITUTE(TRIM(MID($H$2,FIND("on",$H$2)+3,99)),"'","-")),"dddd")=B200,"Week Off",IF(H200="","",IF($H200=0,"Case Not Received",""))),"")</f>
        <v/>
      </c>
      <c r="N200" s="28">
        <f>(COUNTIF(I200:I211,"0"))/12</f>
        <v>0.16666666666666666</v>
      </c>
    </row>
    <row r="201" spans="1:14">
      <c r="A201" s="4" t="s">
        <v>970</v>
      </c>
      <c r="B201" s="4" t="s">
        <v>799</v>
      </c>
      <c r="C201" s="5">
        <f t="shared" si="89"/>
        <v>174</v>
      </c>
      <c r="D201" s="31"/>
      <c r="E201" s="32"/>
      <c r="F201" s="5" t="s">
        <v>339</v>
      </c>
      <c r="G201" s="5" t="s">
        <v>340</v>
      </c>
      <c r="H201" s="4">
        <v>8</v>
      </c>
      <c r="I201" s="4">
        <v>6</v>
      </c>
      <c r="J201" s="4">
        <v>0</v>
      </c>
      <c r="K201" s="4">
        <v>0</v>
      </c>
      <c r="L201" s="15">
        <f t="shared" si="91"/>
        <v>6</v>
      </c>
      <c r="M201" s="25" t="str">
        <f t="shared" si="92"/>
        <v/>
      </c>
      <c r="N201" s="28"/>
    </row>
    <row r="202" spans="1:14">
      <c r="A202" s="4" t="s">
        <v>971</v>
      </c>
      <c r="B202" s="4" t="s">
        <v>804</v>
      </c>
      <c r="C202" s="5">
        <f t="shared" si="89"/>
        <v>175</v>
      </c>
      <c r="D202" s="31"/>
      <c r="E202" s="32"/>
      <c r="F202" s="5" t="s">
        <v>341</v>
      </c>
      <c r="G202" s="5" t="s">
        <v>342</v>
      </c>
      <c r="H202" s="4">
        <v>9</v>
      </c>
      <c r="I202" s="4">
        <v>0</v>
      </c>
      <c r="J202" s="4">
        <v>0</v>
      </c>
      <c r="K202" s="4">
        <v>0</v>
      </c>
      <c r="L202" s="15">
        <f t="shared" si="91"/>
        <v>0</v>
      </c>
      <c r="M202" s="25" t="str">
        <f t="shared" si="92"/>
        <v/>
      </c>
      <c r="N202" s="28"/>
    </row>
    <row r="203" spans="1:14">
      <c r="A203" s="24" t="s">
        <v>1050</v>
      </c>
      <c r="B203" s="4" t="s">
        <v>799</v>
      </c>
      <c r="C203" s="5">
        <f t="shared" si="89"/>
        <v>176</v>
      </c>
      <c r="D203" s="31"/>
      <c r="E203" s="32"/>
      <c r="F203" s="5" t="s">
        <v>343</v>
      </c>
      <c r="G203" s="5" t="s">
        <v>344</v>
      </c>
      <c r="H203" s="4">
        <v>15</v>
      </c>
      <c r="I203" s="4">
        <v>11</v>
      </c>
      <c r="J203" s="4">
        <v>0</v>
      </c>
      <c r="K203" s="4">
        <v>0</v>
      </c>
      <c r="L203" s="15">
        <f t="shared" si="91"/>
        <v>11</v>
      </c>
      <c r="M203" s="25" t="str">
        <f t="shared" si="92"/>
        <v/>
      </c>
      <c r="N203" s="28"/>
    </row>
    <row r="204" spans="1:14">
      <c r="A204" s="4" t="s">
        <v>972</v>
      </c>
      <c r="B204" s="4" t="s">
        <v>798</v>
      </c>
      <c r="C204" s="5">
        <f t="shared" si="89"/>
        <v>177</v>
      </c>
      <c r="D204" s="31"/>
      <c r="E204" s="32"/>
      <c r="F204" s="5" t="s">
        <v>345</v>
      </c>
      <c r="G204" s="5" t="s">
        <v>346</v>
      </c>
      <c r="H204" s="4">
        <v>4</v>
      </c>
      <c r="I204" s="4">
        <v>2</v>
      </c>
      <c r="J204" s="4">
        <v>0</v>
      </c>
      <c r="K204" s="4">
        <v>0</v>
      </c>
      <c r="L204" s="15">
        <f t="shared" si="91"/>
        <v>2</v>
      </c>
      <c r="M204" s="25" t="str">
        <f t="shared" si="92"/>
        <v>Week Off</v>
      </c>
      <c r="N204" s="28"/>
    </row>
    <row r="205" spans="1:14">
      <c r="A205" s="4" t="s">
        <v>973</v>
      </c>
      <c r="B205" s="4" t="s">
        <v>798</v>
      </c>
      <c r="C205" s="5">
        <f t="shared" si="89"/>
        <v>178</v>
      </c>
      <c r="D205" s="31"/>
      <c r="E205" s="32"/>
      <c r="F205" s="5" t="s">
        <v>347</v>
      </c>
      <c r="G205" s="5" t="s">
        <v>348</v>
      </c>
      <c r="H205" s="4">
        <v>7</v>
      </c>
      <c r="I205" s="4">
        <v>5</v>
      </c>
      <c r="J205" s="4">
        <v>0</v>
      </c>
      <c r="K205" s="4">
        <v>0</v>
      </c>
      <c r="L205" s="15">
        <f t="shared" si="91"/>
        <v>5</v>
      </c>
      <c r="M205" s="25" t="str">
        <f t="shared" si="92"/>
        <v>Week Off</v>
      </c>
      <c r="N205" s="28"/>
    </row>
    <row r="206" spans="1:14">
      <c r="A206" s="4" t="s">
        <v>974</v>
      </c>
      <c r="B206" s="4" t="s">
        <v>799</v>
      </c>
      <c r="C206" s="5">
        <f t="shared" si="89"/>
        <v>179</v>
      </c>
      <c r="D206" s="31"/>
      <c r="E206" s="32"/>
      <c r="F206" s="5" t="s">
        <v>349</v>
      </c>
      <c r="G206" s="5" t="s">
        <v>350</v>
      </c>
      <c r="H206" s="4">
        <v>5</v>
      </c>
      <c r="I206" s="4">
        <v>3</v>
      </c>
      <c r="J206" s="4">
        <v>0</v>
      </c>
      <c r="K206" s="4">
        <v>0</v>
      </c>
      <c r="L206" s="15">
        <f t="shared" si="91"/>
        <v>3</v>
      </c>
      <c r="M206" s="25" t="str">
        <f t="shared" si="92"/>
        <v/>
      </c>
      <c r="N206" s="28"/>
    </row>
    <row r="207" spans="1:14">
      <c r="A207" s="4" t="s">
        <v>975</v>
      </c>
      <c r="B207" s="4" t="s">
        <v>803</v>
      </c>
      <c r="C207" s="5">
        <f t="shared" si="89"/>
        <v>180</v>
      </c>
      <c r="D207" s="31"/>
      <c r="E207" s="32"/>
      <c r="F207" s="5" t="s">
        <v>349</v>
      </c>
      <c r="G207" s="5" t="s">
        <v>351</v>
      </c>
      <c r="H207" s="4">
        <v>8</v>
      </c>
      <c r="I207" s="4">
        <v>5</v>
      </c>
      <c r="J207" s="4">
        <v>0</v>
      </c>
      <c r="K207" s="4">
        <v>0</v>
      </c>
      <c r="L207" s="15">
        <f t="shared" si="91"/>
        <v>5</v>
      </c>
      <c r="M207" s="25" t="str">
        <f t="shared" si="92"/>
        <v/>
      </c>
      <c r="N207" s="28"/>
    </row>
    <row r="208" spans="1:14">
      <c r="A208" s="4" t="s">
        <v>976</v>
      </c>
      <c r="B208" s="4" t="s">
        <v>803</v>
      </c>
      <c r="C208" s="5">
        <f t="shared" si="89"/>
        <v>181</v>
      </c>
      <c r="D208" s="31"/>
      <c r="E208" s="32"/>
      <c r="F208" s="5" t="s">
        <v>352</v>
      </c>
      <c r="G208" s="5" t="s">
        <v>353</v>
      </c>
      <c r="H208" s="4">
        <v>7</v>
      </c>
      <c r="I208" s="4">
        <v>7</v>
      </c>
      <c r="J208" s="4">
        <v>0</v>
      </c>
      <c r="K208" s="4">
        <v>0</v>
      </c>
      <c r="L208" s="15">
        <f t="shared" si="91"/>
        <v>7</v>
      </c>
      <c r="M208" s="25" t="str">
        <f t="shared" si="92"/>
        <v/>
      </c>
      <c r="N208" s="28"/>
    </row>
    <row r="209" spans="1:14">
      <c r="A209" s="4" t="s">
        <v>977</v>
      </c>
      <c r="B209" s="4" t="s">
        <v>802</v>
      </c>
      <c r="C209" s="5">
        <f t="shared" si="89"/>
        <v>182</v>
      </c>
      <c r="D209" s="31"/>
      <c r="E209" s="32"/>
      <c r="F209" s="5" t="s">
        <v>354</v>
      </c>
      <c r="G209" s="5" t="s">
        <v>355</v>
      </c>
      <c r="H209" s="4">
        <v>7</v>
      </c>
      <c r="I209" s="4">
        <v>7</v>
      </c>
      <c r="J209" s="4">
        <v>0</v>
      </c>
      <c r="K209" s="4">
        <v>0</v>
      </c>
      <c r="L209" s="15">
        <f t="shared" si="91"/>
        <v>7</v>
      </c>
      <c r="M209" s="25" t="str">
        <f t="shared" si="92"/>
        <v/>
      </c>
      <c r="N209" s="28"/>
    </row>
    <row r="210" spans="1:14">
      <c r="A210" s="4" t="s">
        <v>978</v>
      </c>
      <c r="B210" s="4" t="s">
        <v>798</v>
      </c>
      <c r="C210" s="5">
        <f t="shared" si="89"/>
        <v>183</v>
      </c>
      <c r="D210" s="31"/>
      <c r="E210" s="32"/>
      <c r="F210" s="5" t="s">
        <v>356</v>
      </c>
      <c r="G210" s="5" t="s">
        <v>357</v>
      </c>
      <c r="H210" s="4">
        <v>4</v>
      </c>
      <c r="I210" s="4">
        <v>0</v>
      </c>
      <c r="J210" s="4">
        <v>0</v>
      </c>
      <c r="K210" s="4">
        <v>0</v>
      </c>
      <c r="L210" s="15">
        <f t="shared" si="91"/>
        <v>0</v>
      </c>
      <c r="M210" s="25" t="str">
        <f t="shared" si="92"/>
        <v>Week Off</v>
      </c>
      <c r="N210" s="28"/>
    </row>
    <row r="211" spans="1:14">
      <c r="A211" s="4" t="s">
        <v>979</v>
      </c>
      <c r="B211" s="4" t="s">
        <v>801</v>
      </c>
      <c r="C211" s="5">
        <f t="shared" si="89"/>
        <v>184</v>
      </c>
      <c r="D211" s="31"/>
      <c r="E211" s="32"/>
      <c r="F211" s="5" t="s">
        <v>358</v>
      </c>
      <c r="G211" s="5" t="s">
        <v>359</v>
      </c>
      <c r="H211" s="4">
        <v>1</v>
      </c>
      <c r="I211" s="4">
        <v>1</v>
      </c>
      <c r="J211" s="4">
        <v>0</v>
      </c>
      <c r="K211" s="4">
        <v>0</v>
      </c>
      <c r="L211" s="15">
        <f t="shared" si="91"/>
        <v>1</v>
      </c>
      <c r="M211" s="25" t="str">
        <f t="shared" si="92"/>
        <v/>
      </c>
      <c r="N211" s="28"/>
    </row>
    <row r="212" spans="1:14" ht="28.8">
      <c r="A212" s="4"/>
      <c r="B212" s="4"/>
      <c r="C212" s="5"/>
      <c r="D212" s="19"/>
      <c r="E212" s="6"/>
      <c r="F212" s="7" t="s">
        <v>32</v>
      </c>
      <c r="G212" s="7">
        <v>12</v>
      </c>
      <c r="H212" s="7">
        <f t="shared" ref="H212:L212" si="93">SUM(H200:H211)</f>
        <v>76</v>
      </c>
      <c r="I212" s="7">
        <f t="shared" si="93"/>
        <v>48</v>
      </c>
      <c r="J212" s="7">
        <f t="shared" si="93"/>
        <v>0</v>
      </c>
      <c r="K212" s="7">
        <f t="shared" si="93"/>
        <v>0</v>
      </c>
      <c r="L212" s="7">
        <f t="shared" si="93"/>
        <v>48</v>
      </c>
      <c r="M212" s="25"/>
      <c r="N212" s="28"/>
    </row>
    <row r="213" spans="1:14" ht="28.8">
      <c r="A213" s="4"/>
      <c r="B213" s="4"/>
      <c r="C213" s="5"/>
      <c r="D213" s="19"/>
      <c r="E213" s="8"/>
      <c r="F213" s="9" t="s">
        <v>121</v>
      </c>
      <c r="G213" s="9">
        <v>69</v>
      </c>
      <c r="H213" s="16">
        <f t="shared" ref="H213:L213" si="94">SUM(H212,H199,H190,H181,H175,H160,H155,H145)</f>
        <v>418</v>
      </c>
      <c r="I213" s="16">
        <f t="shared" si="94"/>
        <v>225</v>
      </c>
      <c r="J213" s="16">
        <f t="shared" si="94"/>
        <v>0</v>
      </c>
      <c r="K213" s="16">
        <f t="shared" si="94"/>
        <v>0</v>
      </c>
      <c r="L213" s="16">
        <f t="shared" si="94"/>
        <v>225</v>
      </c>
      <c r="M213" s="25"/>
      <c r="N213" s="4"/>
    </row>
    <row r="214" spans="1:14">
      <c r="A214" s="4" t="s">
        <v>980</v>
      </c>
      <c r="B214" s="4" t="s">
        <v>803</v>
      </c>
      <c r="C214" s="5">
        <f>C211+1</f>
        <v>185</v>
      </c>
      <c r="D214" s="31" t="s">
        <v>360</v>
      </c>
      <c r="E214" s="32" t="s">
        <v>361</v>
      </c>
      <c r="F214" s="5" t="s">
        <v>10</v>
      </c>
      <c r="G214" s="5" t="s">
        <v>362</v>
      </c>
      <c r="H214" s="4">
        <v>2</v>
      </c>
      <c r="I214" s="4">
        <v>0</v>
      </c>
      <c r="J214" s="4">
        <v>0</v>
      </c>
      <c r="K214" s="4">
        <v>0</v>
      </c>
      <c r="L214" s="15">
        <f t="shared" ref="L214:L224" si="95">I214+J214+K214</f>
        <v>0</v>
      </c>
      <c r="M214" s="25" t="str">
        <f t="shared" ref="M214:M224" si="96">IFERROR(IF(TEXT(DATEVALUE(SUBSTITUTE(TRIM(MID($H$2,FIND("on",$H$2)+3,99)),"'","-")),"dddd")=B214,"Week Off",IF(H214="","",IF($H214=0,"Case Not Received",""))),"")</f>
        <v/>
      </c>
      <c r="N214" s="28">
        <f>(COUNTIF(I214:I224,"0"))/11</f>
        <v>0.36363636363636365</v>
      </c>
    </row>
    <row r="215" spans="1:14">
      <c r="A215" s="4" t="s">
        <v>981</v>
      </c>
      <c r="B215" s="4" t="s">
        <v>798</v>
      </c>
      <c r="C215" s="5">
        <f>C214+1</f>
        <v>186</v>
      </c>
      <c r="D215" s="31"/>
      <c r="E215" s="32"/>
      <c r="F215" s="5" t="s">
        <v>363</v>
      </c>
      <c r="G215" s="5" t="s">
        <v>364</v>
      </c>
      <c r="H215" s="4">
        <v>2</v>
      </c>
      <c r="I215" s="4">
        <v>0</v>
      </c>
      <c r="J215" s="4">
        <v>0</v>
      </c>
      <c r="K215" s="4">
        <v>0</v>
      </c>
      <c r="L215" s="15">
        <f t="shared" si="95"/>
        <v>0</v>
      </c>
      <c r="M215" s="25" t="str">
        <f t="shared" si="96"/>
        <v>Week Off</v>
      </c>
      <c r="N215" s="28"/>
    </row>
    <row r="216" spans="1:14">
      <c r="A216" s="4" t="s">
        <v>982</v>
      </c>
      <c r="B216" s="4" t="s">
        <v>797</v>
      </c>
      <c r="C216" s="5">
        <f t="shared" ref="C216:C224" si="97">C215+1</f>
        <v>187</v>
      </c>
      <c r="D216" s="31"/>
      <c r="E216" s="32"/>
      <c r="F216" s="5" t="s">
        <v>365</v>
      </c>
      <c r="G216" s="5" t="s">
        <v>366</v>
      </c>
      <c r="H216" s="4">
        <v>10</v>
      </c>
      <c r="I216" s="4">
        <v>5</v>
      </c>
      <c r="J216" s="4">
        <v>0</v>
      </c>
      <c r="K216" s="4">
        <v>0</v>
      </c>
      <c r="L216" s="15">
        <f t="shared" si="95"/>
        <v>5</v>
      </c>
      <c r="M216" s="25" t="str">
        <f t="shared" si="96"/>
        <v/>
      </c>
      <c r="N216" s="28"/>
    </row>
    <row r="217" spans="1:14">
      <c r="A217" s="4" t="s">
        <v>983</v>
      </c>
      <c r="B217" s="4" t="s">
        <v>797</v>
      </c>
      <c r="C217" s="5">
        <f t="shared" si="97"/>
        <v>188</v>
      </c>
      <c r="D217" s="31"/>
      <c r="E217" s="32"/>
      <c r="F217" s="5" t="s">
        <v>367</v>
      </c>
      <c r="G217" s="5" t="s">
        <v>368</v>
      </c>
      <c r="H217" s="4">
        <v>6</v>
      </c>
      <c r="I217" s="4">
        <v>6</v>
      </c>
      <c r="J217" s="4">
        <v>0</v>
      </c>
      <c r="K217" s="4">
        <v>0</v>
      </c>
      <c r="L217" s="15">
        <f t="shared" si="95"/>
        <v>6</v>
      </c>
      <c r="M217" s="25" t="str">
        <f t="shared" si="96"/>
        <v/>
      </c>
      <c r="N217" s="28"/>
    </row>
    <row r="218" spans="1:14">
      <c r="A218" s="4" t="s">
        <v>984</v>
      </c>
      <c r="B218" s="4" t="s">
        <v>803</v>
      </c>
      <c r="C218" s="5">
        <f t="shared" si="97"/>
        <v>189</v>
      </c>
      <c r="D218" s="31"/>
      <c r="E218" s="32"/>
      <c r="F218" s="5" t="s">
        <v>369</v>
      </c>
      <c r="G218" s="5" t="s">
        <v>370</v>
      </c>
      <c r="H218" s="4">
        <v>6</v>
      </c>
      <c r="I218" s="4">
        <v>6</v>
      </c>
      <c r="J218" s="4">
        <v>0</v>
      </c>
      <c r="K218" s="4">
        <v>0</v>
      </c>
      <c r="L218" s="15">
        <f t="shared" si="95"/>
        <v>6</v>
      </c>
      <c r="M218" s="25" t="str">
        <f t="shared" si="96"/>
        <v/>
      </c>
      <c r="N218" s="28"/>
    </row>
    <row r="219" spans="1:14">
      <c r="A219" s="4" t="s">
        <v>985</v>
      </c>
      <c r="B219" s="4" t="s">
        <v>802</v>
      </c>
      <c r="C219" s="5">
        <f t="shared" si="97"/>
        <v>190</v>
      </c>
      <c r="D219" s="31"/>
      <c r="E219" s="32"/>
      <c r="F219" s="5" t="s">
        <v>371</v>
      </c>
      <c r="G219" s="5" t="s">
        <v>372</v>
      </c>
      <c r="H219" s="4">
        <v>4</v>
      </c>
      <c r="I219" s="4">
        <v>4</v>
      </c>
      <c r="J219" s="4">
        <v>0</v>
      </c>
      <c r="K219" s="4">
        <v>0</v>
      </c>
      <c r="L219" s="15">
        <f t="shared" si="95"/>
        <v>4</v>
      </c>
      <c r="M219" s="25" t="str">
        <f t="shared" si="96"/>
        <v/>
      </c>
      <c r="N219" s="28"/>
    </row>
    <row r="220" spans="1:14">
      <c r="A220" s="4" t="s">
        <v>986</v>
      </c>
      <c r="B220" s="4" t="s">
        <v>799</v>
      </c>
      <c r="C220" s="5">
        <f t="shared" si="97"/>
        <v>191</v>
      </c>
      <c r="D220" s="31"/>
      <c r="E220" s="32"/>
      <c r="F220" s="5" t="s">
        <v>373</v>
      </c>
      <c r="G220" s="5" t="s">
        <v>374</v>
      </c>
      <c r="H220" s="4">
        <v>4</v>
      </c>
      <c r="I220" s="4">
        <v>3</v>
      </c>
      <c r="J220" s="4">
        <v>0</v>
      </c>
      <c r="K220" s="4">
        <v>0</v>
      </c>
      <c r="L220" s="15">
        <f t="shared" si="95"/>
        <v>3</v>
      </c>
      <c r="M220" s="25" t="str">
        <f t="shared" si="96"/>
        <v/>
      </c>
      <c r="N220" s="28"/>
    </row>
    <row r="221" spans="1:14">
      <c r="A221" s="4" t="s">
        <v>987</v>
      </c>
      <c r="B221" s="4" t="s">
        <v>798</v>
      </c>
      <c r="C221" s="5">
        <f t="shared" si="97"/>
        <v>192</v>
      </c>
      <c r="D221" s="31"/>
      <c r="E221" s="32"/>
      <c r="F221" s="5" t="s">
        <v>375</v>
      </c>
      <c r="G221" s="5" t="s">
        <v>376</v>
      </c>
      <c r="H221" s="4">
        <v>1</v>
      </c>
      <c r="I221" s="4">
        <v>0</v>
      </c>
      <c r="J221" s="4">
        <v>0</v>
      </c>
      <c r="K221" s="4">
        <v>0</v>
      </c>
      <c r="L221" s="15">
        <f t="shared" si="95"/>
        <v>0</v>
      </c>
      <c r="M221" s="25" t="str">
        <f t="shared" si="96"/>
        <v>Week Off</v>
      </c>
      <c r="N221" s="28"/>
    </row>
    <row r="222" spans="1:14">
      <c r="A222" s="4" t="s">
        <v>988</v>
      </c>
      <c r="B222" s="4" t="s">
        <v>800</v>
      </c>
      <c r="C222" s="5">
        <f t="shared" si="97"/>
        <v>193</v>
      </c>
      <c r="D222" s="31"/>
      <c r="E222" s="32"/>
      <c r="F222" s="5" t="s">
        <v>377</v>
      </c>
      <c r="G222" s="5" t="s">
        <v>378</v>
      </c>
      <c r="H222" s="4">
        <v>10</v>
      </c>
      <c r="I222" s="4">
        <v>0</v>
      </c>
      <c r="J222" s="4">
        <v>0</v>
      </c>
      <c r="K222" s="4">
        <v>0</v>
      </c>
      <c r="L222" s="15">
        <f t="shared" si="95"/>
        <v>0</v>
      </c>
      <c r="M222" s="25" t="str">
        <f t="shared" si="96"/>
        <v/>
      </c>
      <c r="N222" s="28"/>
    </row>
    <row r="223" spans="1:14">
      <c r="A223" s="4" t="s">
        <v>989</v>
      </c>
      <c r="B223" s="4" t="s">
        <v>799</v>
      </c>
      <c r="C223" s="5">
        <f t="shared" si="97"/>
        <v>194</v>
      </c>
      <c r="D223" s="31"/>
      <c r="E223" s="32"/>
      <c r="F223" s="5" t="s">
        <v>379</v>
      </c>
      <c r="G223" s="5" t="s">
        <v>380</v>
      </c>
      <c r="H223" s="4">
        <v>4</v>
      </c>
      <c r="I223" s="4">
        <v>4</v>
      </c>
      <c r="J223" s="4">
        <v>0</v>
      </c>
      <c r="K223" s="4">
        <v>0</v>
      </c>
      <c r="L223" s="15">
        <f t="shared" si="95"/>
        <v>4</v>
      </c>
      <c r="M223" s="25" t="str">
        <f t="shared" si="96"/>
        <v/>
      </c>
      <c r="N223" s="28"/>
    </row>
    <row r="224" spans="1:14">
      <c r="A224" s="4" t="s">
        <v>990</v>
      </c>
      <c r="B224" s="4" t="s">
        <v>801</v>
      </c>
      <c r="C224" s="5">
        <f t="shared" si="97"/>
        <v>195</v>
      </c>
      <c r="D224" s="31"/>
      <c r="E224" s="32"/>
      <c r="F224" s="5" t="s">
        <v>381</v>
      </c>
      <c r="G224" s="5" t="s">
        <v>382</v>
      </c>
      <c r="H224" s="4">
        <v>4</v>
      </c>
      <c r="I224" s="4">
        <v>3</v>
      </c>
      <c r="J224" s="4">
        <v>0</v>
      </c>
      <c r="K224" s="4">
        <v>0</v>
      </c>
      <c r="L224" s="15">
        <f t="shared" si="95"/>
        <v>3</v>
      </c>
      <c r="M224" s="25" t="str">
        <f t="shared" si="96"/>
        <v/>
      </c>
      <c r="N224" s="28"/>
    </row>
    <row r="225" spans="1:14" ht="15.6">
      <c r="A225" s="4"/>
      <c r="B225" s="4"/>
      <c r="C225" s="5"/>
      <c r="D225" s="31"/>
      <c r="E225" s="6"/>
      <c r="F225" s="7" t="s">
        <v>32</v>
      </c>
      <c r="G225" s="7">
        <v>11</v>
      </c>
      <c r="H225" s="7">
        <f t="shared" ref="H225:L225" si="98">SUM(H214:H224)</f>
        <v>53</v>
      </c>
      <c r="I225" s="7">
        <f t="shared" si="98"/>
        <v>31</v>
      </c>
      <c r="J225" s="7">
        <f t="shared" si="98"/>
        <v>0</v>
      </c>
      <c r="K225" s="7">
        <f t="shared" si="98"/>
        <v>0</v>
      </c>
      <c r="L225" s="7">
        <f t="shared" si="98"/>
        <v>31</v>
      </c>
      <c r="M225" s="25"/>
      <c r="N225" s="28"/>
    </row>
    <row r="226" spans="1:14">
      <c r="A226" s="4" t="s">
        <v>991</v>
      </c>
      <c r="B226" s="4" t="s">
        <v>803</v>
      </c>
      <c r="C226" s="5">
        <f>C224+1</f>
        <v>196</v>
      </c>
      <c r="D226" s="31"/>
      <c r="E226" s="32" t="s">
        <v>383</v>
      </c>
      <c r="F226" s="5" t="s">
        <v>10</v>
      </c>
      <c r="G226" s="5" t="s">
        <v>384</v>
      </c>
      <c r="H226" s="4">
        <v>9</v>
      </c>
      <c r="I226" s="4">
        <v>9</v>
      </c>
      <c r="J226" s="4">
        <v>0</v>
      </c>
      <c r="K226" s="4">
        <v>0</v>
      </c>
      <c r="L226" s="15">
        <f t="shared" ref="L226:L237" si="99">I226+J226+K226</f>
        <v>9</v>
      </c>
      <c r="M226" s="25" t="str">
        <f t="shared" ref="M226:M237" si="100">IFERROR(IF(TEXT(DATEVALUE(SUBSTITUTE(TRIM(MID($H$2,FIND("on",$H$2)+3,99)),"'","-")),"dddd")=B226,"Week Off",IF(H226="","",IF($H226=0,"Case Not Received",""))),"")</f>
        <v/>
      </c>
      <c r="N226" s="28">
        <f>(COUNTIF(I226:I237,"0"))/12</f>
        <v>0.16666666666666666</v>
      </c>
    </row>
    <row r="227" spans="1:14">
      <c r="A227" s="4" t="s">
        <v>992</v>
      </c>
      <c r="B227" s="4" t="s">
        <v>801</v>
      </c>
      <c r="C227" s="5">
        <f>C226+1</f>
        <v>197</v>
      </c>
      <c r="D227" s="31"/>
      <c r="E227" s="32"/>
      <c r="F227" s="5" t="s">
        <v>385</v>
      </c>
      <c r="G227" s="5" t="s">
        <v>386</v>
      </c>
      <c r="H227" s="4">
        <v>16</v>
      </c>
      <c r="I227" s="4">
        <v>6</v>
      </c>
      <c r="J227" s="4">
        <v>0</v>
      </c>
      <c r="K227" s="4">
        <v>0</v>
      </c>
      <c r="L227" s="15">
        <f t="shared" si="99"/>
        <v>6</v>
      </c>
      <c r="M227" s="25" t="str">
        <f t="shared" si="100"/>
        <v/>
      </c>
      <c r="N227" s="28"/>
    </row>
    <row r="228" spans="1:14">
      <c r="A228" s="4" t="s">
        <v>993</v>
      </c>
      <c r="B228" s="4" t="s">
        <v>799</v>
      </c>
      <c r="C228" s="5">
        <f t="shared" ref="C228:C237" si="101">C227+1</f>
        <v>198</v>
      </c>
      <c r="D228" s="31"/>
      <c r="E228" s="32"/>
      <c r="F228" s="5" t="s">
        <v>387</v>
      </c>
      <c r="G228" s="5" t="s">
        <v>388</v>
      </c>
      <c r="H228" s="4">
        <v>6</v>
      </c>
      <c r="I228" s="4">
        <v>5</v>
      </c>
      <c r="J228" s="4">
        <v>0</v>
      </c>
      <c r="K228" s="4">
        <v>0</v>
      </c>
      <c r="L228" s="15">
        <f t="shared" si="99"/>
        <v>5</v>
      </c>
      <c r="M228" s="25" t="str">
        <f t="shared" si="100"/>
        <v/>
      </c>
      <c r="N228" s="28"/>
    </row>
    <row r="229" spans="1:14">
      <c r="A229" s="4" t="s">
        <v>1197</v>
      </c>
      <c r="B229" s="4" t="s">
        <v>799</v>
      </c>
      <c r="C229" s="5">
        <f t="shared" si="101"/>
        <v>199</v>
      </c>
      <c r="D229" s="31"/>
      <c r="E229" s="32"/>
      <c r="F229" s="5" t="s">
        <v>389</v>
      </c>
      <c r="G229" s="5" t="s">
        <v>390</v>
      </c>
      <c r="H229" s="4">
        <v>6</v>
      </c>
      <c r="I229" s="4">
        <v>0</v>
      </c>
      <c r="J229" s="4">
        <v>0</v>
      </c>
      <c r="K229" s="4">
        <v>0</v>
      </c>
      <c r="L229" s="15">
        <f t="shared" si="99"/>
        <v>0</v>
      </c>
      <c r="M229" s="25" t="str">
        <f t="shared" si="100"/>
        <v/>
      </c>
      <c r="N229" s="28"/>
    </row>
    <row r="230" spans="1:14">
      <c r="A230" s="4" t="s">
        <v>995</v>
      </c>
      <c r="B230" s="4" t="s">
        <v>802</v>
      </c>
      <c r="C230" s="5">
        <f t="shared" si="101"/>
        <v>200</v>
      </c>
      <c r="D230" s="31"/>
      <c r="E230" s="32"/>
      <c r="F230" s="5" t="s">
        <v>391</v>
      </c>
      <c r="G230" s="5" t="s">
        <v>392</v>
      </c>
      <c r="H230" s="4">
        <v>14</v>
      </c>
      <c r="I230" s="4">
        <v>8</v>
      </c>
      <c r="J230" s="4">
        <v>0</v>
      </c>
      <c r="K230" s="4">
        <v>0</v>
      </c>
      <c r="L230" s="15">
        <f t="shared" si="99"/>
        <v>8</v>
      </c>
      <c r="M230" s="25" t="str">
        <f t="shared" si="100"/>
        <v/>
      </c>
      <c r="N230" s="28"/>
    </row>
    <row r="231" spans="1:14">
      <c r="A231" s="23" t="s">
        <v>1213</v>
      </c>
      <c r="B231" s="4" t="s">
        <v>802</v>
      </c>
      <c r="C231" s="5">
        <f t="shared" si="101"/>
        <v>201</v>
      </c>
      <c r="D231" s="31"/>
      <c r="E231" s="32"/>
      <c r="F231" s="5" t="s">
        <v>795</v>
      </c>
      <c r="G231" s="5" t="s">
        <v>393</v>
      </c>
      <c r="H231" s="4">
        <v>9</v>
      </c>
      <c r="I231" s="4">
        <v>7</v>
      </c>
      <c r="J231" s="4">
        <v>0</v>
      </c>
      <c r="K231" s="4">
        <v>0</v>
      </c>
      <c r="L231" s="15">
        <f t="shared" si="99"/>
        <v>7</v>
      </c>
      <c r="M231" s="25" t="str">
        <f t="shared" si="100"/>
        <v/>
      </c>
      <c r="N231" s="28"/>
    </row>
    <row r="232" spans="1:14">
      <c r="A232" s="4" t="s">
        <v>996</v>
      </c>
      <c r="B232" s="4" t="s">
        <v>797</v>
      </c>
      <c r="C232" s="5">
        <f t="shared" si="101"/>
        <v>202</v>
      </c>
      <c r="D232" s="31"/>
      <c r="E232" s="32"/>
      <c r="F232" s="5" t="s">
        <v>394</v>
      </c>
      <c r="G232" s="5" t="s">
        <v>395</v>
      </c>
      <c r="H232" s="4">
        <v>13</v>
      </c>
      <c r="I232" s="4">
        <v>4</v>
      </c>
      <c r="J232" s="4">
        <v>0</v>
      </c>
      <c r="K232" s="4">
        <v>0</v>
      </c>
      <c r="L232" s="15">
        <f t="shared" si="99"/>
        <v>4</v>
      </c>
      <c r="M232" s="25" t="str">
        <f t="shared" si="100"/>
        <v/>
      </c>
      <c r="N232" s="28"/>
    </row>
    <row r="233" spans="1:14">
      <c r="A233" s="4" t="s">
        <v>997</v>
      </c>
      <c r="B233" s="4" t="s">
        <v>800</v>
      </c>
      <c r="C233" s="5">
        <f t="shared" si="101"/>
        <v>203</v>
      </c>
      <c r="D233" s="31"/>
      <c r="E233" s="32"/>
      <c r="F233" s="5" t="s">
        <v>396</v>
      </c>
      <c r="G233" s="5" t="s">
        <v>397</v>
      </c>
      <c r="H233" s="4">
        <v>8</v>
      </c>
      <c r="I233" s="4">
        <v>3</v>
      </c>
      <c r="J233" s="4">
        <v>0</v>
      </c>
      <c r="K233" s="4">
        <v>0</v>
      </c>
      <c r="L233" s="15">
        <f t="shared" si="99"/>
        <v>3</v>
      </c>
      <c r="M233" s="25" t="str">
        <f t="shared" si="100"/>
        <v/>
      </c>
      <c r="N233" s="28"/>
    </row>
    <row r="234" spans="1:14">
      <c r="A234" s="4" t="s">
        <v>998</v>
      </c>
      <c r="B234" s="4" t="s">
        <v>802</v>
      </c>
      <c r="C234" s="5">
        <f t="shared" si="101"/>
        <v>204</v>
      </c>
      <c r="D234" s="31"/>
      <c r="E234" s="32"/>
      <c r="F234" s="5" t="s">
        <v>398</v>
      </c>
      <c r="G234" s="5" t="s">
        <v>399</v>
      </c>
      <c r="H234" s="4">
        <v>1</v>
      </c>
      <c r="I234" s="4">
        <v>0</v>
      </c>
      <c r="J234" s="4">
        <v>0</v>
      </c>
      <c r="K234" s="4">
        <v>0</v>
      </c>
      <c r="L234" s="15">
        <f t="shared" si="99"/>
        <v>0</v>
      </c>
      <c r="M234" s="25" t="str">
        <f t="shared" si="100"/>
        <v/>
      </c>
      <c r="N234" s="28"/>
    </row>
    <row r="235" spans="1:14">
      <c r="A235" s="4" t="s">
        <v>999</v>
      </c>
      <c r="B235" s="4" t="s">
        <v>800</v>
      </c>
      <c r="C235" s="5">
        <f t="shared" si="101"/>
        <v>205</v>
      </c>
      <c r="D235" s="31"/>
      <c r="E235" s="32"/>
      <c r="F235" s="5" t="s">
        <v>400</v>
      </c>
      <c r="G235" s="5" t="s">
        <v>401</v>
      </c>
      <c r="H235" s="4">
        <v>13</v>
      </c>
      <c r="I235" s="4">
        <v>7</v>
      </c>
      <c r="J235" s="4">
        <v>0</v>
      </c>
      <c r="K235" s="4">
        <v>0</v>
      </c>
      <c r="L235" s="15">
        <f t="shared" si="99"/>
        <v>7</v>
      </c>
      <c r="M235" s="25" t="str">
        <f t="shared" si="100"/>
        <v/>
      </c>
      <c r="N235" s="28"/>
    </row>
    <row r="236" spans="1:14">
      <c r="A236" s="4" t="s">
        <v>1000</v>
      </c>
      <c r="B236" s="4" t="s">
        <v>801</v>
      </c>
      <c r="C236" s="5">
        <f t="shared" si="101"/>
        <v>206</v>
      </c>
      <c r="D236" s="31"/>
      <c r="E236" s="32"/>
      <c r="F236" s="5" t="s">
        <v>402</v>
      </c>
      <c r="G236" s="5" t="s">
        <v>403</v>
      </c>
      <c r="H236" s="4">
        <v>3</v>
      </c>
      <c r="I236" s="4">
        <v>3</v>
      </c>
      <c r="J236" s="4">
        <v>0</v>
      </c>
      <c r="K236" s="4">
        <v>0</v>
      </c>
      <c r="L236" s="15">
        <f t="shared" si="99"/>
        <v>3</v>
      </c>
      <c r="M236" s="25" t="str">
        <f t="shared" si="100"/>
        <v/>
      </c>
      <c r="N236" s="28"/>
    </row>
    <row r="237" spans="1:14">
      <c r="A237" s="24" t="s">
        <v>994</v>
      </c>
      <c r="B237" s="4" t="s">
        <v>801</v>
      </c>
      <c r="C237" s="5">
        <f t="shared" si="101"/>
        <v>207</v>
      </c>
      <c r="D237" s="31"/>
      <c r="E237" s="32"/>
      <c r="F237" s="5" t="s">
        <v>404</v>
      </c>
      <c r="G237" s="5" t="s">
        <v>405</v>
      </c>
      <c r="H237" s="4">
        <v>3</v>
      </c>
      <c r="I237" s="4">
        <v>3</v>
      </c>
      <c r="J237" s="4">
        <v>0</v>
      </c>
      <c r="K237" s="4">
        <v>0</v>
      </c>
      <c r="L237" s="15">
        <f t="shared" si="99"/>
        <v>3</v>
      </c>
      <c r="M237" s="25" t="str">
        <f t="shared" si="100"/>
        <v/>
      </c>
      <c r="N237" s="28"/>
    </row>
    <row r="238" spans="1:14" ht="15.6">
      <c r="A238" s="4"/>
      <c r="B238" s="4"/>
      <c r="C238" s="5"/>
      <c r="D238" s="31"/>
      <c r="E238" s="6"/>
      <c r="F238" s="7" t="s">
        <v>32</v>
      </c>
      <c r="G238" s="7">
        <v>12</v>
      </c>
      <c r="H238" s="7">
        <f t="shared" ref="H238:L238" si="102">SUM(H226:H237)</f>
        <v>101</v>
      </c>
      <c r="I238" s="7">
        <f t="shared" si="102"/>
        <v>55</v>
      </c>
      <c r="J238" s="7">
        <f t="shared" si="102"/>
        <v>0</v>
      </c>
      <c r="K238" s="7">
        <f t="shared" si="102"/>
        <v>0</v>
      </c>
      <c r="L238" s="7">
        <f t="shared" si="102"/>
        <v>55</v>
      </c>
      <c r="M238" s="25"/>
      <c r="N238" s="28"/>
    </row>
    <row r="239" spans="1:14">
      <c r="A239" s="4" t="s">
        <v>1001</v>
      </c>
      <c r="B239" s="4" t="s">
        <v>803</v>
      </c>
      <c r="C239" s="5">
        <f t="shared" ref="C239" si="103">C237+1</f>
        <v>208</v>
      </c>
      <c r="D239" s="31"/>
      <c r="E239" s="32" t="s">
        <v>406</v>
      </c>
      <c r="F239" s="4" t="s">
        <v>10</v>
      </c>
      <c r="G239" s="4" t="s">
        <v>407</v>
      </c>
      <c r="H239" s="4">
        <v>0</v>
      </c>
      <c r="I239" s="4">
        <v>0</v>
      </c>
      <c r="J239" s="4">
        <v>0</v>
      </c>
      <c r="K239" s="4">
        <v>0</v>
      </c>
      <c r="L239" s="15">
        <f t="shared" ref="L239:L246" si="104">I239+J239+K239</f>
        <v>0</v>
      </c>
      <c r="M239" s="25" t="str">
        <f t="shared" ref="M239:M246" si="105">IFERROR(IF(TEXT(DATEVALUE(SUBSTITUTE(TRIM(MID($H$2,FIND("on",$H$2)+3,99)),"'","-")),"dddd")=B239,"Week Off",IF(H239="","",IF($H239=0,"Case Not Received",""))),"")</f>
        <v>Case Not Received</v>
      </c>
      <c r="N239" s="27">
        <f>(COUNTIF(I239:I246,"0"))/8</f>
        <v>0.25</v>
      </c>
    </row>
    <row r="240" spans="1:14">
      <c r="A240" s="24" t="s">
        <v>1195</v>
      </c>
      <c r="B240" s="4" t="s">
        <v>799</v>
      </c>
      <c r="C240" s="5">
        <f>C239+1</f>
        <v>209</v>
      </c>
      <c r="D240" s="31"/>
      <c r="E240" s="32"/>
      <c r="F240" s="4" t="s">
        <v>408</v>
      </c>
      <c r="G240" s="4" t="s">
        <v>409</v>
      </c>
      <c r="H240" s="4">
        <v>2</v>
      </c>
      <c r="I240" s="4">
        <v>2</v>
      </c>
      <c r="J240" s="4">
        <v>0</v>
      </c>
      <c r="K240" s="4">
        <v>0</v>
      </c>
      <c r="L240" s="15">
        <f t="shared" si="104"/>
        <v>2</v>
      </c>
      <c r="M240" s="25" t="str">
        <f t="shared" si="105"/>
        <v/>
      </c>
      <c r="N240" s="27"/>
    </row>
    <row r="241" spans="1:14">
      <c r="A241" s="4" t="s">
        <v>1002</v>
      </c>
      <c r="B241" s="4" t="s">
        <v>800</v>
      </c>
      <c r="C241" s="5">
        <f t="shared" ref="C241:C246" si="106">C240+1</f>
        <v>210</v>
      </c>
      <c r="D241" s="31"/>
      <c r="E241" s="32"/>
      <c r="F241" s="4" t="s">
        <v>410</v>
      </c>
      <c r="G241" s="4" t="s">
        <v>411</v>
      </c>
      <c r="H241" s="4">
        <v>3</v>
      </c>
      <c r="I241" s="4">
        <v>2</v>
      </c>
      <c r="J241" s="4">
        <v>0</v>
      </c>
      <c r="K241" s="4">
        <v>0</v>
      </c>
      <c r="L241" s="15">
        <f t="shared" si="104"/>
        <v>2</v>
      </c>
      <c r="M241" s="25" t="str">
        <f t="shared" si="105"/>
        <v/>
      </c>
      <c r="N241" s="27"/>
    </row>
    <row r="242" spans="1:14">
      <c r="A242" s="4" t="s">
        <v>1003</v>
      </c>
      <c r="B242" s="4" t="s">
        <v>797</v>
      </c>
      <c r="C242" s="5">
        <f t="shared" si="106"/>
        <v>211</v>
      </c>
      <c r="D242" s="31"/>
      <c r="E242" s="32"/>
      <c r="F242" s="4" t="s">
        <v>412</v>
      </c>
      <c r="G242" s="4" t="s">
        <v>413</v>
      </c>
      <c r="H242" s="4">
        <v>3</v>
      </c>
      <c r="I242" s="4">
        <v>2</v>
      </c>
      <c r="J242" s="4">
        <v>0</v>
      </c>
      <c r="K242" s="4">
        <v>0</v>
      </c>
      <c r="L242" s="15">
        <f t="shared" si="104"/>
        <v>2</v>
      </c>
      <c r="M242" s="25" t="str">
        <f t="shared" si="105"/>
        <v/>
      </c>
      <c r="N242" s="27"/>
    </row>
    <row r="243" spans="1:14">
      <c r="A243" s="24" t="s">
        <v>1119</v>
      </c>
      <c r="B243" s="4" t="s">
        <v>805</v>
      </c>
      <c r="C243" s="5">
        <f t="shared" si="106"/>
        <v>212</v>
      </c>
      <c r="D243" s="31"/>
      <c r="E243" s="32"/>
      <c r="F243" s="4" t="s">
        <v>414</v>
      </c>
      <c r="G243" s="4" t="s">
        <v>415</v>
      </c>
      <c r="H243" s="4">
        <v>3</v>
      </c>
      <c r="I243" s="4">
        <v>3</v>
      </c>
      <c r="J243" s="4">
        <v>0</v>
      </c>
      <c r="K243" s="4">
        <v>0</v>
      </c>
      <c r="L243" s="15">
        <f t="shared" si="104"/>
        <v>3</v>
      </c>
      <c r="M243" s="25" t="str">
        <f t="shared" si="105"/>
        <v/>
      </c>
      <c r="N243" s="27"/>
    </row>
    <row r="244" spans="1:14">
      <c r="A244" s="4" t="s">
        <v>1005</v>
      </c>
      <c r="B244" s="4" t="s">
        <v>803</v>
      </c>
      <c r="C244" s="5">
        <f t="shared" si="106"/>
        <v>213</v>
      </c>
      <c r="D244" s="31"/>
      <c r="E244" s="32"/>
      <c r="F244" s="4" t="s">
        <v>416</v>
      </c>
      <c r="G244" s="4" t="s">
        <v>417</v>
      </c>
      <c r="H244" s="4">
        <v>11</v>
      </c>
      <c r="I244" s="4">
        <v>10</v>
      </c>
      <c r="J244" s="4">
        <v>0</v>
      </c>
      <c r="K244" s="4">
        <v>0</v>
      </c>
      <c r="L244" s="15">
        <f t="shared" si="104"/>
        <v>10</v>
      </c>
      <c r="M244" s="25" t="str">
        <f t="shared" si="105"/>
        <v/>
      </c>
      <c r="N244" s="27"/>
    </row>
    <row r="245" spans="1:14">
      <c r="A245" s="4" t="s">
        <v>1006</v>
      </c>
      <c r="B245" s="4" t="s">
        <v>798</v>
      </c>
      <c r="C245" s="5">
        <f t="shared" si="106"/>
        <v>214</v>
      </c>
      <c r="D245" s="31"/>
      <c r="E245" s="32"/>
      <c r="F245" s="4" t="s">
        <v>418</v>
      </c>
      <c r="G245" s="4" t="s">
        <v>419</v>
      </c>
      <c r="H245" s="4">
        <v>3</v>
      </c>
      <c r="I245" s="4">
        <v>0</v>
      </c>
      <c r="J245" s="4">
        <v>0</v>
      </c>
      <c r="K245" s="4">
        <v>0</v>
      </c>
      <c r="L245" s="15">
        <f t="shared" si="104"/>
        <v>0</v>
      </c>
      <c r="M245" s="25" t="str">
        <f t="shared" si="105"/>
        <v>Week Off</v>
      </c>
      <c r="N245" s="27"/>
    </row>
    <row r="246" spans="1:14">
      <c r="A246" s="4" t="s">
        <v>1007</v>
      </c>
      <c r="B246" s="4" t="s">
        <v>802</v>
      </c>
      <c r="C246" s="5">
        <f t="shared" si="106"/>
        <v>215</v>
      </c>
      <c r="D246" s="31"/>
      <c r="E246" s="32"/>
      <c r="F246" s="4" t="s">
        <v>420</v>
      </c>
      <c r="G246" s="4" t="s">
        <v>421</v>
      </c>
      <c r="H246" s="4">
        <v>3</v>
      </c>
      <c r="I246" s="4">
        <v>1</v>
      </c>
      <c r="J246" s="4">
        <v>0</v>
      </c>
      <c r="K246" s="4">
        <v>0</v>
      </c>
      <c r="L246" s="15">
        <f t="shared" si="104"/>
        <v>1</v>
      </c>
      <c r="M246" s="25" t="str">
        <f t="shared" si="105"/>
        <v/>
      </c>
      <c r="N246" s="27"/>
    </row>
    <row r="247" spans="1:14" ht="15.6">
      <c r="A247" s="4"/>
      <c r="B247" s="4"/>
      <c r="C247" s="5"/>
      <c r="D247" s="31"/>
      <c r="E247" s="6"/>
      <c r="F247" s="7" t="s">
        <v>32</v>
      </c>
      <c r="G247" s="7">
        <v>8</v>
      </c>
      <c r="H247" s="7">
        <f t="shared" ref="H247:L247" si="107">SUM(H239:H246)</f>
        <v>28</v>
      </c>
      <c r="I247" s="7">
        <f t="shared" si="107"/>
        <v>20</v>
      </c>
      <c r="J247" s="7">
        <f t="shared" si="107"/>
        <v>0</v>
      </c>
      <c r="K247" s="7">
        <f t="shared" si="107"/>
        <v>0</v>
      </c>
      <c r="L247" s="7">
        <f t="shared" si="107"/>
        <v>20</v>
      </c>
      <c r="M247" s="25"/>
      <c r="N247" s="27"/>
    </row>
    <row r="248" spans="1:14">
      <c r="A248" s="24" t="s">
        <v>829</v>
      </c>
      <c r="B248" s="4" t="s">
        <v>797</v>
      </c>
      <c r="C248" s="5">
        <f>C246+1</f>
        <v>216</v>
      </c>
      <c r="D248" s="31"/>
      <c r="E248" s="32" t="s">
        <v>360</v>
      </c>
      <c r="F248" s="5" t="s">
        <v>10</v>
      </c>
      <c r="G248" s="5" t="s">
        <v>422</v>
      </c>
      <c r="H248" s="4">
        <v>10</v>
      </c>
      <c r="I248" s="4">
        <v>6</v>
      </c>
      <c r="J248" s="4">
        <v>0</v>
      </c>
      <c r="K248" s="4">
        <v>0</v>
      </c>
      <c r="L248" s="15">
        <f t="shared" ref="L248:L255" si="108">I248+J248+K248</f>
        <v>6</v>
      </c>
      <c r="M248" s="25" t="str">
        <f t="shared" ref="M248:M255" si="109">IFERROR(IF(TEXT(DATEVALUE(SUBSTITUTE(TRIM(MID($H$2,FIND("on",$H$2)+3,99)),"'","-")),"dddd")=B248,"Week Off",IF(H248="","",IF($H248=0,"Case Not Received",""))),"")</f>
        <v/>
      </c>
      <c r="N248" s="28">
        <f>(COUNTIF(I248:I255,"0"))/8</f>
        <v>0</v>
      </c>
    </row>
    <row r="249" spans="1:14">
      <c r="A249" s="4" t="s">
        <v>1009</v>
      </c>
      <c r="B249" s="4" t="s">
        <v>798</v>
      </c>
      <c r="C249" s="5">
        <f>C248+1</f>
        <v>217</v>
      </c>
      <c r="D249" s="31"/>
      <c r="E249" s="32"/>
      <c r="F249" s="5" t="s">
        <v>423</v>
      </c>
      <c r="G249" s="5" t="s">
        <v>424</v>
      </c>
      <c r="H249" s="4">
        <v>4</v>
      </c>
      <c r="I249" s="4">
        <v>1</v>
      </c>
      <c r="J249" s="4">
        <v>0</v>
      </c>
      <c r="K249" s="4">
        <v>0</v>
      </c>
      <c r="L249" s="15">
        <f t="shared" si="108"/>
        <v>1</v>
      </c>
      <c r="M249" s="25" t="str">
        <f t="shared" si="109"/>
        <v>Week Off</v>
      </c>
      <c r="N249" s="28"/>
    </row>
    <row r="250" spans="1:14">
      <c r="A250" s="4" t="s">
        <v>1010</v>
      </c>
      <c r="B250" s="4" t="s">
        <v>801</v>
      </c>
      <c r="C250" s="5">
        <f t="shared" ref="C250:C255" si="110">C249+1</f>
        <v>218</v>
      </c>
      <c r="D250" s="31"/>
      <c r="E250" s="32"/>
      <c r="F250" s="5" t="s">
        <v>425</v>
      </c>
      <c r="G250" s="5" t="s">
        <v>426</v>
      </c>
      <c r="H250" s="4">
        <v>4</v>
      </c>
      <c r="I250" s="4">
        <v>4</v>
      </c>
      <c r="J250" s="4">
        <v>0</v>
      </c>
      <c r="K250" s="4">
        <v>0</v>
      </c>
      <c r="L250" s="15">
        <f t="shared" si="108"/>
        <v>4</v>
      </c>
      <c r="M250" s="25" t="str">
        <f t="shared" si="109"/>
        <v/>
      </c>
      <c r="N250" s="28"/>
    </row>
    <row r="251" spans="1:14">
      <c r="A251" s="4" t="s">
        <v>866</v>
      </c>
      <c r="B251" s="4" t="s">
        <v>799</v>
      </c>
      <c r="C251" s="5">
        <f t="shared" si="110"/>
        <v>219</v>
      </c>
      <c r="D251" s="31"/>
      <c r="E251" s="32"/>
      <c r="F251" s="5" t="s">
        <v>427</v>
      </c>
      <c r="G251" s="5" t="s">
        <v>428</v>
      </c>
      <c r="H251" s="4">
        <v>5</v>
      </c>
      <c r="I251" s="4">
        <v>4</v>
      </c>
      <c r="J251" s="4">
        <v>0</v>
      </c>
      <c r="K251" s="4">
        <v>0</v>
      </c>
      <c r="L251" s="15">
        <f t="shared" si="108"/>
        <v>4</v>
      </c>
      <c r="M251" s="25" t="str">
        <f t="shared" si="109"/>
        <v/>
      </c>
      <c r="N251" s="28"/>
    </row>
    <row r="252" spans="1:14">
      <c r="A252" s="4" t="s">
        <v>1012</v>
      </c>
      <c r="B252" s="4" t="s">
        <v>802</v>
      </c>
      <c r="C252" s="5">
        <f t="shared" si="110"/>
        <v>220</v>
      </c>
      <c r="D252" s="31"/>
      <c r="E252" s="32"/>
      <c r="F252" s="5" t="s">
        <v>429</v>
      </c>
      <c r="G252" s="5" t="s">
        <v>430</v>
      </c>
      <c r="H252" s="4">
        <v>7</v>
      </c>
      <c r="I252" s="4">
        <v>6</v>
      </c>
      <c r="J252" s="4">
        <v>0</v>
      </c>
      <c r="K252" s="4">
        <v>0</v>
      </c>
      <c r="L252" s="15">
        <f t="shared" si="108"/>
        <v>6</v>
      </c>
      <c r="M252" s="25" t="str">
        <f t="shared" si="109"/>
        <v/>
      </c>
      <c r="N252" s="28"/>
    </row>
    <row r="253" spans="1:14">
      <c r="A253" s="4" t="s">
        <v>1013</v>
      </c>
      <c r="B253" s="4" t="s">
        <v>803</v>
      </c>
      <c r="C253" s="5">
        <f t="shared" si="110"/>
        <v>221</v>
      </c>
      <c r="D253" s="31"/>
      <c r="E253" s="32"/>
      <c r="F253" s="5" t="s">
        <v>431</v>
      </c>
      <c r="G253" s="5" t="s">
        <v>432</v>
      </c>
      <c r="H253" s="4">
        <v>2</v>
      </c>
      <c r="I253" s="4">
        <v>2</v>
      </c>
      <c r="J253" s="4">
        <v>0</v>
      </c>
      <c r="K253" s="4">
        <v>0</v>
      </c>
      <c r="L253" s="15">
        <f t="shared" si="108"/>
        <v>2</v>
      </c>
      <c r="M253" s="25" t="str">
        <f t="shared" si="109"/>
        <v/>
      </c>
      <c r="N253" s="28"/>
    </row>
    <row r="254" spans="1:14">
      <c r="A254" s="4" t="s">
        <v>1014</v>
      </c>
      <c r="B254" s="4" t="s">
        <v>800</v>
      </c>
      <c r="C254" s="5">
        <f t="shared" si="110"/>
        <v>222</v>
      </c>
      <c r="D254" s="31"/>
      <c r="E254" s="32"/>
      <c r="F254" s="5" t="s">
        <v>433</v>
      </c>
      <c r="G254" s="5" t="s">
        <v>434</v>
      </c>
      <c r="H254" s="4">
        <v>2</v>
      </c>
      <c r="I254" s="4">
        <v>2</v>
      </c>
      <c r="J254" s="4">
        <v>0</v>
      </c>
      <c r="K254" s="4">
        <v>0</v>
      </c>
      <c r="L254" s="15">
        <f t="shared" si="108"/>
        <v>2</v>
      </c>
      <c r="M254" s="25" t="str">
        <f t="shared" si="109"/>
        <v/>
      </c>
      <c r="N254" s="28"/>
    </row>
    <row r="255" spans="1:14">
      <c r="A255" s="4" t="s">
        <v>1015</v>
      </c>
      <c r="B255" s="4" t="s">
        <v>802</v>
      </c>
      <c r="C255" s="5">
        <f t="shared" si="110"/>
        <v>223</v>
      </c>
      <c r="D255" s="31"/>
      <c r="E255" s="32"/>
      <c r="F255" s="5" t="s">
        <v>30</v>
      </c>
      <c r="G255" s="5" t="s">
        <v>435</v>
      </c>
      <c r="H255" s="4">
        <v>6</v>
      </c>
      <c r="I255" s="4">
        <v>4</v>
      </c>
      <c r="J255" s="4">
        <v>0</v>
      </c>
      <c r="K255" s="4">
        <v>0</v>
      </c>
      <c r="L255" s="15">
        <f t="shared" si="108"/>
        <v>4</v>
      </c>
      <c r="M255" s="25" t="str">
        <f t="shared" si="109"/>
        <v/>
      </c>
      <c r="N255" s="28"/>
    </row>
    <row r="256" spans="1:14" ht="15.6">
      <c r="A256" s="4"/>
      <c r="B256" s="4"/>
      <c r="C256" s="5"/>
      <c r="D256" s="31"/>
      <c r="E256" s="6"/>
      <c r="F256" s="7" t="s">
        <v>32</v>
      </c>
      <c r="G256" s="7">
        <v>8</v>
      </c>
      <c r="H256" s="7">
        <f t="shared" ref="H256:L256" si="111">SUM(H248:H255)</f>
        <v>40</v>
      </c>
      <c r="I256" s="7">
        <f t="shared" si="111"/>
        <v>29</v>
      </c>
      <c r="J256" s="7">
        <f t="shared" si="111"/>
        <v>0</v>
      </c>
      <c r="K256" s="7">
        <f t="shared" si="111"/>
        <v>0</v>
      </c>
      <c r="L256" s="7">
        <f t="shared" si="111"/>
        <v>29</v>
      </c>
      <c r="M256" s="25"/>
      <c r="N256" s="28"/>
    </row>
    <row r="257" spans="1:14">
      <c r="A257" s="4" t="s">
        <v>1016</v>
      </c>
      <c r="B257" s="4" t="s">
        <v>801</v>
      </c>
      <c r="C257" s="5">
        <f>C255+1</f>
        <v>224</v>
      </c>
      <c r="D257" s="31"/>
      <c r="E257" s="33" t="s">
        <v>436</v>
      </c>
      <c r="F257" s="4" t="s">
        <v>10</v>
      </c>
      <c r="G257" s="4" t="s">
        <v>437</v>
      </c>
      <c r="H257" s="4">
        <v>3</v>
      </c>
      <c r="I257" s="4">
        <v>2</v>
      </c>
      <c r="J257" s="4">
        <v>0</v>
      </c>
      <c r="K257" s="4">
        <v>0</v>
      </c>
      <c r="L257" s="15">
        <f t="shared" ref="L257:L263" si="112">I257+J257+K257</f>
        <v>2</v>
      </c>
      <c r="M257" s="25" t="str">
        <f t="shared" ref="M257:M263" si="113">IFERROR(IF(TEXT(DATEVALUE(SUBSTITUTE(TRIM(MID($H$2,FIND("on",$H$2)+3,99)),"'","-")),"dddd")=B257,"Week Off",IF(H257="","",IF($H257=0,"Case Not Received",""))),"")</f>
        <v/>
      </c>
      <c r="N257" s="27">
        <f>(COUNTIF(I257:I263,"0"))/7</f>
        <v>0.2857142857142857</v>
      </c>
    </row>
    <row r="258" spans="1:14">
      <c r="A258" s="4" t="s">
        <v>1017</v>
      </c>
      <c r="B258" s="4" t="s">
        <v>797</v>
      </c>
      <c r="C258" s="5">
        <f>C257+1</f>
        <v>225</v>
      </c>
      <c r="D258" s="31"/>
      <c r="E258" s="33"/>
      <c r="F258" s="4" t="s">
        <v>438</v>
      </c>
      <c r="G258" s="4" t="s">
        <v>439</v>
      </c>
      <c r="H258" s="4">
        <v>8</v>
      </c>
      <c r="I258" s="4">
        <v>6</v>
      </c>
      <c r="J258" s="4">
        <v>0</v>
      </c>
      <c r="K258" s="4">
        <v>0</v>
      </c>
      <c r="L258" s="15">
        <f t="shared" si="112"/>
        <v>6</v>
      </c>
      <c r="M258" s="25" t="str">
        <f t="shared" si="113"/>
        <v/>
      </c>
      <c r="N258" s="27"/>
    </row>
    <row r="259" spans="1:14">
      <c r="A259" s="4" t="s">
        <v>1018</v>
      </c>
      <c r="B259" s="4" t="s">
        <v>802</v>
      </c>
      <c r="C259" s="5">
        <f t="shared" ref="C259:C263" si="114">C258+1</f>
        <v>226</v>
      </c>
      <c r="D259" s="31"/>
      <c r="E259" s="33"/>
      <c r="F259" s="4" t="s">
        <v>440</v>
      </c>
      <c r="G259" s="4" t="s">
        <v>441</v>
      </c>
      <c r="H259" s="4">
        <v>9</v>
      </c>
      <c r="I259" s="4">
        <v>5</v>
      </c>
      <c r="J259" s="4">
        <v>0</v>
      </c>
      <c r="K259" s="4">
        <v>0</v>
      </c>
      <c r="L259" s="15">
        <f t="shared" si="112"/>
        <v>5</v>
      </c>
      <c r="M259" s="25" t="str">
        <f t="shared" si="113"/>
        <v/>
      </c>
      <c r="N259" s="27"/>
    </row>
    <row r="260" spans="1:14">
      <c r="A260" s="4" t="s">
        <v>1019</v>
      </c>
      <c r="B260" s="4" t="s">
        <v>800</v>
      </c>
      <c r="C260" s="5">
        <f t="shared" si="114"/>
        <v>227</v>
      </c>
      <c r="D260" s="31"/>
      <c r="E260" s="33"/>
      <c r="F260" s="4" t="s">
        <v>442</v>
      </c>
      <c r="G260" s="4" t="s">
        <v>443</v>
      </c>
      <c r="H260" s="4">
        <v>3</v>
      </c>
      <c r="I260" s="4">
        <v>2</v>
      </c>
      <c r="J260" s="4">
        <v>0</v>
      </c>
      <c r="K260" s="4">
        <v>0</v>
      </c>
      <c r="L260" s="15">
        <f t="shared" si="112"/>
        <v>2</v>
      </c>
      <c r="M260" s="25" t="str">
        <f t="shared" si="113"/>
        <v/>
      </c>
      <c r="N260" s="27"/>
    </row>
    <row r="261" spans="1:14">
      <c r="A261" s="4" t="s">
        <v>1020</v>
      </c>
      <c r="B261" s="4" t="s">
        <v>803</v>
      </c>
      <c r="C261" s="5">
        <f t="shared" si="114"/>
        <v>228</v>
      </c>
      <c r="D261" s="31"/>
      <c r="E261" s="33"/>
      <c r="F261" s="4" t="s">
        <v>444</v>
      </c>
      <c r="G261" s="4" t="s">
        <v>445</v>
      </c>
      <c r="H261" s="4">
        <v>6</v>
      </c>
      <c r="I261" s="4">
        <v>4</v>
      </c>
      <c r="J261" s="4">
        <v>0</v>
      </c>
      <c r="K261" s="4">
        <v>0</v>
      </c>
      <c r="L261" s="15">
        <f t="shared" si="112"/>
        <v>4</v>
      </c>
      <c r="M261" s="25" t="str">
        <f t="shared" si="113"/>
        <v/>
      </c>
      <c r="N261" s="27"/>
    </row>
    <row r="262" spans="1:14">
      <c r="A262" s="4" t="s">
        <v>1021</v>
      </c>
      <c r="B262" s="4" t="s">
        <v>798</v>
      </c>
      <c r="C262" s="5">
        <f t="shared" si="114"/>
        <v>229</v>
      </c>
      <c r="D262" s="31"/>
      <c r="E262" s="33"/>
      <c r="F262" s="4" t="s">
        <v>446</v>
      </c>
      <c r="G262" s="4" t="s">
        <v>447</v>
      </c>
      <c r="H262" s="4">
        <v>11</v>
      </c>
      <c r="I262" s="4">
        <v>0</v>
      </c>
      <c r="J262" s="4">
        <v>0</v>
      </c>
      <c r="K262" s="4">
        <v>0</v>
      </c>
      <c r="L262" s="15">
        <f t="shared" si="112"/>
        <v>0</v>
      </c>
      <c r="M262" s="25" t="str">
        <f t="shared" si="113"/>
        <v>Week Off</v>
      </c>
      <c r="N262" s="27"/>
    </row>
    <row r="263" spans="1:14">
      <c r="A263" s="4" t="s">
        <v>1022</v>
      </c>
      <c r="B263" s="4" t="s">
        <v>799</v>
      </c>
      <c r="C263" s="5">
        <f t="shared" si="114"/>
        <v>230</v>
      </c>
      <c r="D263" s="31"/>
      <c r="E263" s="33"/>
      <c r="F263" s="4" t="s">
        <v>448</v>
      </c>
      <c r="G263" s="4" t="s">
        <v>449</v>
      </c>
      <c r="H263" s="4">
        <v>6</v>
      </c>
      <c r="I263" s="4">
        <v>0</v>
      </c>
      <c r="J263" s="4">
        <v>0</v>
      </c>
      <c r="K263" s="4">
        <v>0</v>
      </c>
      <c r="L263" s="15">
        <f t="shared" si="112"/>
        <v>0</v>
      </c>
      <c r="M263" s="25" t="str">
        <f t="shared" si="113"/>
        <v/>
      </c>
      <c r="N263" s="27"/>
    </row>
    <row r="264" spans="1:14" ht="15.6">
      <c r="A264" s="4"/>
      <c r="B264" s="4"/>
      <c r="C264" s="5"/>
      <c r="D264" s="31"/>
      <c r="E264" s="6"/>
      <c r="F264" s="7" t="s">
        <v>32</v>
      </c>
      <c r="G264" s="7">
        <v>7</v>
      </c>
      <c r="H264" s="7">
        <f t="shared" ref="H264:L264" si="115">SUM(H257:H263)</f>
        <v>46</v>
      </c>
      <c r="I264" s="7">
        <f t="shared" si="115"/>
        <v>19</v>
      </c>
      <c r="J264" s="7">
        <f t="shared" si="115"/>
        <v>0</v>
      </c>
      <c r="K264" s="7">
        <f t="shared" si="115"/>
        <v>0</v>
      </c>
      <c r="L264" s="7">
        <f t="shared" si="115"/>
        <v>19</v>
      </c>
      <c r="M264" s="25"/>
      <c r="N264" s="27"/>
    </row>
    <row r="265" spans="1:14">
      <c r="A265" s="4" t="s">
        <v>1023</v>
      </c>
      <c r="B265" s="4" t="s">
        <v>797</v>
      </c>
      <c r="C265" s="5">
        <f>C263+1</f>
        <v>231</v>
      </c>
      <c r="D265" s="31"/>
      <c r="E265" s="32" t="s">
        <v>450</v>
      </c>
      <c r="F265" s="4" t="s">
        <v>10</v>
      </c>
      <c r="G265" s="4" t="s">
        <v>451</v>
      </c>
      <c r="H265" s="4">
        <v>1</v>
      </c>
      <c r="I265" s="4">
        <v>0</v>
      </c>
      <c r="J265" s="4">
        <v>0</v>
      </c>
      <c r="K265" s="4">
        <v>0</v>
      </c>
      <c r="L265" s="15">
        <f t="shared" ref="L265:L274" si="116">I265+J265+K265</f>
        <v>0</v>
      </c>
      <c r="M265" s="25" t="str">
        <f t="shared" ref="M265:M274" si="117">IFERROR(IF(TEXT(DATEVALUE(SUBSTITUTE(TRIM(MID($H$2,FIND("on",$H$2)+3,99)),"'","-")),"dddd")=B265,"Week Off",IF(H265="","",IF($H265=0,"Case Not Received",""))),"")</f>
        <v/>
      </c>
      <c r="N265" s="27">
        <f>(COUNTIF(I265:I274,"0"))/10</f>
        <v>0.2</v>
      </c>
    </row>
    <row r="266" spans="1:14">
      <c r="A266" s="4" t="s">
        <v>1024</v>
      </c>
      <c r="B266" s="4" t="s">
        <v>799</v>
      </c>
      <c r="C266" s="5">
        <f t="shared" ref="C266:C282" si="118">C265+1</f>
        <v>232</v>
      </c>
      <c r="D266" s="31"/>
      <c r="E266" s="32"/>
      <c r="F266" s="4" t="s">
        <v>452</v>
      </c>
      <c r="G266" s="4" t="s">
        <v>453</v>
      </c>
      <c r="H266" s="4">
        <v>5</v>
      </c>
      <c r="I266" s="4">
        <v>3</v>
      </c>
      <c r="J266" s="4">
        <v>0</v>
      </c>
      <c r="K266" s="4">
        <v>0</v>
      </c>
      <c r="L266" s="15">
        <f t="shared" si="116"/>
        <v>3</v>
      </c>
      <c r="M266" s="25" t="str">
        <f t="shared" si="117"/>
        <v/>
      </c>
      <c r="N266" s="27"/>
    </row>
    <row r="267" spans="1:14">
      <c r="A267" s="4" t="s">
        <v>1025</v>
      </c>
      <c r="B267" s="4" t="s">
        <v>803</v>
      </c>
      <c r="C267" s="5">
        <f t="shared" si="118"/>
        <v>233</v>
      </c>
      <c r="D267" s="31"/>
      <c r="E267" s="32"/>
      <c r="F267" s="4" t="s">
        <v>454</v>
      </c>
      <c r="G267" s="4" t="s">
        <v>455</v>
      </c>
      <c r="H267" s="4">
        <v>5</v>
      </c>
      <c r="I267" s="4">
        <v>5</v>
      </c>
      <c r="J267" s="4">
        <v>0</v>
      </c>
      <c r="K267" s="4">
        <v>0</v>
      </c>
      <c r="L267" s="15">
        <f t="shared" si="116"/>
        <v>5</v>
      </c>
      <c r="M267" s="25" t="str">
        <f t="shared" si="117"/>
        <v/>
      </c>
      <c r="N267" s="27"/>
    </row>
    <row r="268" spans="1:14">
      <c r="A268" s="4" t="s">
        <v>1026</v>
      </c>
      <c r="B268" s="4" t="s">
        <v>801</v>
      </c>
      <c r="C268" s="5">
        <f t="shared" si="118"/>
        <v>234</v>
      </c>
      <c r="D268" s="31"/>
      <c r="E268" s="32"/>
      <c r="F268" s="4" t="s">
        <v>456</v>
      </c>
      <c r="G268" s="4" t="s">
        <v>457</v>
      </c>
      <c r="H268" s="4">
        <v>11</v>
      </c>
      <c r="I268" s="4">
        <v>3</v>
      </c>
      <c r="J268" s="4">
        <v>0</v>
      </c>
      <c r="K268" s="4">
        <v>0</v>
      </c>
      <c r="L268" s="15">
        <f t="shared" si="116"/>
        <v>3</v>
      </c>
      <c r="M268" s="25" t="str">
        <f t="shared" si="117"/>
        <v/>
      </c>
      <c r="N268" s="27"/>
    </row>
    <row r="269" spans="1:14">
      <c r="A269" s="4" t="s">
        <v>1027</v>
      </c>
      <c r="B269" s="4" t="s">
        <v>799</v>
      </c>
      <c r="C269" s="5">
        <f t="shared" si="118"/>
        <v>235</v>
      </c>
      <c r="D269" s="31"/>
      <c r="E269" s="32"/>
      <c r="F269" s="4" t="s">
        <v>458</v>
      </c>
      <c r="G269" s="4" t="s">
        <v>459</v>
      </c>
      <c r="H269" s="4">
        <v>4</v>
      </c>
      <c r="I269" s="4">
        <v>3</v>
      </c>
      <c r="J269" s="4">
        <v>0</v>
      </c>
      <c r="K269" s="4">
        <v>0</v>
      </c>
      <c r="L269" s="15">
        <f t="shared" si="116"/>
        <v>3</v>
      </c>
      <c r="M269" s="25" t="str">
        <f t="shared" si="117"/>
        <v/>
      </c>
      <c r="N269" s="27"/>
    </row>
    <row r="270" spans="1:14">
      <c r="A270" s="4" t="s">
        <v>1028</v>
      </c>
      <c r="B270" s="4" t="s">
        <v>800</v>
      </c>
      <c r="C270" s="5">
        <f t="shared" si="118"/>
        <v>236</v>
      </c>
      <c r="D270" s="31"/>
      <c r="E270" s="32"/>
      <c r="F270" s="4" t="s">
        <v>460</v>
      </c>
      <c r="G270" s="4" t="s">
        <v>461</v>
      </c>
      <c r="H270" s="4">
        <v>4</v>
      </c>
      <c r="I270" s="4">
        <v>1</v>
      </c>
      <c r="J270" s="4">
        <v>0</v>
      </c>
      <c r="K270" s="4">
        <v>0</v>
      </c>
      <c r="L270" s="15">
        <f t="shared" si="116"/>
        <v>1</v>
      </c>
      <c r="M270" s="25" t="str">
        <f t="shared" si="117"/>
        <v/>
      </c>
      <c r="N270" s="27"/>
    </row>
    <row r="271" spans="1:14">
      <c r="A271" s="4" t="s">
        <v>1029</v>
      </c>
      <c r="B271" s="4" t="s">
        <v>802</v>
      </c>
      <c r="C271" s="5">
        <f t="shared" si="118"/>
        <v>237</v>
      </c>
      <c r="D271" s="31"/>
      <c r="E271" s="32"/>
      <c r="F271" s="4" t="s">
        <v>462</v>
      </c>
      <c r="G271" s="4" t="s">
        <v>463</v>
      </c>
      <c r="H271" s="4">
        <v>3</v>
      </c>
      <c r="I271" s="4">
        <v>3</v>
      </c>
      <c r="J271" s="4">
        <v>0</v>
      </c>
      <c r="K271" s="4">
        <v>0</v>
      </c>
      <c r="L271" s="15">
        <f t="shared" si="116"/>
        <v>3</v>
      </c>
      <c r="M271" s="25" t="str">
        <f t="shared" si="117"/>
        <v/>
      </c>
      <c r="N271" s="27"/>
    </row>
    <row r="272" spans="1:14">
      <c r="A272" s="4" t="s">
        <v>1030</v>
      </c>
      <c r="B272" s="4" t="s">
        <v>798</v>
      </c>
      <c r="C272" s="5">
        <f t="shared" si="118"/>
        <v>238</v>
      </c>
      <c r="D272" s="31"/>
      <c r="E272" s="32"/>
      <c r="F272" s="4" t="s">
        <v>464</v>
      </c>
      <c r="G272" s="4" t="s">
        <v>465</v>
      </c>
      <c r="H272" s="4">
        <v>6</v>
      </c>
      <c r="I272" s="4">
        <v>0</v>
      </c>
      <c r="J272" s="4">
        <v>0</v>
      </c>
      <c r="K272" s="4">
        <v>0</v>
      </c>
      <c r="L272" s="15">
        <f t="shared" si="116"/>
        <v>0</v>
      </c>
      <c r="M272" s="25" t="str">
        <f t="shared" si="117"/>
        <v>Week Off</v>
      </c>
      <c r="N272" s="27"/>
    </row>
    <row r="273" spans="1:14">
      <c r="A273" s="4" t="s">
        <v>1031</v>
      </c>
      <c r="B273" s="4" t="s">
        <v>798</v>
      </c>
      <c r="C273" s="5">
        <f t="shared" si="118"/>
        <v>239</v>
      </c>
      <c r="D273" s="31"/>
      <c r="E273" s="32"/>
      <c r="F273" s="4" t="s">
        <v>466</v>
      </c>
      <c r="G273" s="4" t="s">
        <v>467</v>
      </c>
      <c r="H273" s="4">
        <v>1</v>
      </c>
      <c r="I273" s="4">
        <v>1</v>
      </c>
      <c r="J273" s="4">
        <v>0</v>
      </c>
      <c r="K273" s="4">
        <v>0</v>
      </c>
      <c r="L273" s="15">
        <f t="shared" si="116"/>
        <v>1</v>
      </c>
      <c r="M273" s="25" t="str">
        <f t="shared" si="117"/>
        <v>Week Off</v>
      </c>
      <c r="N273" s="27"/>
    </row>
    <row r="274" spans="1:14">
      <c r="A274" s="4" t="s">
        <v>1032</v>
      </c>
      <c r="B274" s="4" t="s">
        <v>797</v>
      </c>
      <c r="C274" s="5">
        <f t="shared" si="118"/>
        <v>240</v>
      </c>
      <c r="D274" s="31"/>
      <c r="E274" s="32"/>
      <c r="F274" s="4" t="s">
        <v>468</v>
      </c>
      <c r="G274" s="4" t="s">
        <v>469</v>
      </c>
      <c r="H274" s="4">
        <v>5</v>
      </c>
      <c r="I274" s="4">
        <v>4</v>
      </c>
      <c r="J274" s="4">
        <v>0</v>
      </c>
      <c r="K274" s="4">
        <v>0</v>
      </c>
      <c r="L274" s="15">
        <f t="shared" si="116"/>
        <v>4</v>
      </c>
      <c r="M274" s="25" t="str">
        <f t="shared" si="117"/>
        <v/>
      </c>
      <c r="N274" s="27"/>
    </row>
    <row r="275" spans="1:14" ht="15.6">
      <c r="A275" s="4"/>
      <c r="B275" s="4"/>
      <c r="C275" s="5"/>
      <c r="D275" s="31"/>
      <c r="E275" s="6"/>
      <c r="F275" s="7" t="s">
        <v>32</v>
      </c>
      <c r="G275" s="7">
        <v>10</v>
      </c>
      <c r="H275" s="7">
        <f t="shared" ref="H275:L275" si="119">SUM(H265:H274)</f>
        <v>45</v>
      </c>
      <c r="I275" s="7">
        <f t="shared" si="119"/>
        <v>23</v>
      </c>
      <c r="J275" s="7">
        <f t="shared" si="119"/>
        <v>0</v>
      </c>
      <c r="K275" s="7">
        <f t="shared" si="119"/>
        <v>0</v>
      </c>
      <c r="L275" s="7">
        <f t="shared" si="119"/>
        <v>23</v>
      </c>
      <c r="M275" s="25"/>
      <c r="N275" s="27"/>
    </row>
    <row r="276" spans="1:14">
      <c r="A276" s="4" t="s">
        <v>1033</v>
      </c>
      <c r="B276" s="4" t="s">
        <v>803</v>
      </c>
      <c r="C276" s="5">
        <f>C274+1</f>
        <v>241</v>
      </c>
      <c r="D276" s="31"/>
      <c r="E276" s="32" t="s">
        <v>470</v>
      </c>
      <c r="F276" s="4" t="s">
        <v>10</v>
      </c>
      <c r="G276" s="4" t="s">
        <v>471</v>
      </c>
      <c r="H276" s="4">
        <v>4</v>
      </c>
      <c r="I276" s="4">
        <v>1</v>
      </c>
      <c r="J276" s="4">
        <v>0</v>
      </c>
      <c r="K276" s="4">
        <v>0</v>
      </c>
      <c r="L276" s="15">
        <f t="shared" ref="L276:L282" si="120">I276+J276+K276</f>
        <v>1</v>
      </c>
      <c r="M276" s="25" t="str">
        <f t="shared" ref="M276:M282" si="121">IFERROR(IF(TEXT(DATEVALUE(SUBSTITUTE(TRIM(MID($H$2,FIND("on",$H$2)+3,99)),"'","-")),"dddd")=B276,"Week Off",IF(H276="","",IF($H276=0,"Case Not Received",""))),"")</f>
        <v/>
      </c>
      <c r="N276" s="27">
        <f>(COUNTIF(H276:H282,"0"))/7</f>
        <v>0</v>
      </c>
    </row>
    <row r="277" spans="1:14">
      <c r="A277" s="4" t="s">
        <v>1034</v>
      </c>
      <c r="B277" s="4" t="s">
        <v>802</v>
      </c>
      <c r="C277" s="5">
        <f t="shared" si="118"/>
        <v>242</v>
      </c>
      <c r="D277" s="31"/>
      <c r="E277" s="32"/>
      <c r="F277" s="4" t="s">
        <v>472</v>
      </c>
      <c r="G277" s="4" t="s">
        <v>473</v>
      </c>
      <c r="H277" s="4">
        <v>10</v>
      </c>
      <c r="I277" s="4">
        <v>4</v>
      </c>
      <c r="J277" s="4">
        <v>0</v>
      </c>
      <c r="K277" s="4">
        <v>0</v>
      </c>
      <c r="L277" s="15">
        <f t="shared" si="120"/>
        <v>4</v>
      </c>
      <c r="M277" s="25" t="str">
        <f t="shared" si="121"/>
        <v/>
      </c>
      <c r="N277" s="27"/>
    </row>
    <row r="278" spans="1:14">
      <c r="A278" s="4" t="s">
        <v>1035</v>
      </c>
      <c r="B278" s="4" t="s">
        <v>801</v>
      </c>
      <c r="C278" s="5">
        <f t="shared" si="118"/>
        <v>243</v>
      </c>
      <c r="D278" s="31"/>
      <c r="E278" s="32"/>
      <c r="F278" s="4" t="s">
        <v>474</v>
      </c>
      <c r="G278" s="4" t="s">
        <v>475</v>
      </c>
      <c r="H278" s="4">
        <v>4</v>
      </c>
      <c r="I278" s="4">
        <v>1</v>
      </c>
      <c r="J278" s="4">
        <v>0</v>
      </c>
      <c r="K278" s="4">
        <v>0</v>
      </c>
      <c r="L278" s="15">
        <f t="shared" si="120"/>
        <v>1</v>
      </c>
      <c r="M278" s="25" t="str">
        <f t="shared" si="121"/>
        <v/>
      </c>
      <c r="N278" s="27"/>
    </row>
    <row r="279" spans="1:14">
      <c r="A279" s="4" t="s">
        <v>1036</v>
      </c>
      <c r="B279" s="4" t="s">
        <v>799</v>
      </c>
      <c r="C279" s="5">
        <f t="shared" si="118"/>
        <v>244</v>
      </c>
      <c r="D279" s="31"/>
      <c r="E279" s="32"/>
      <c r="F279" s="4" t="s">
        <v>476</v>
      </c>
      <c r="G279" s="4" t="s">
        <v>477</v>
      </c>
      <c r="H279" s="4">
        <v>15</v>
      </c>
      <c r="I279" s="4">
        <v>9</v>
      </c>
      <c r="J279" s="4">
        <v>0</v>
      </c>
      <c r="K279" s="4">
        <v>0</v>
      </c>
      <c r="L279" s="15">
        <f t="shared" si="120"/>
        <v>9</v>
      </c>
      <c r="M279" s="25" t="str">
        <f t="shared" si="121"/>
        <v/>
      </c>
      <c r="N279" s="27"/>
    </row>
    <row r="280" spans="1:14">
      <c r="A280" s="4" t="s">
        <v>1037</v>
      </c>
      <c r="B280" s="4" t="s">
        <v>798</v>
      </c>
      <c r="C280" s="5">
        <f t="shared" si="118"/>
        <v>245</v>
      </c>
      <c r="D280" s="31"/>
      <c r="E280" s="32"/>
      <c r="F280" s="4" t="s">
        <v>478</v>
      </c>
      <c r="G280" s="4" t="s">
        <v>479</v>
      </c>
      <c r="H280" s="4">
        <v>9</v>
      </c>
      <c r="I280" s="4">
        <v>0</v>
      </c>
      <c r="J280" s="4">
        <v>0</v>
      </c>
      <c r="K280" s="4">
        <v>0</v>
      </c>
      <c r="L280" s="15">
        <f t="shared" si="120"/>
        <v>0</v>
      </c>
      <c r="M280" s="25" t="str">
        <f t="shared" si="121"/>
        <v>Week Off</v>
      </c>
      <c r="N280" s="27"/>
    </row>
    <row r="281" spans="1:14">
      <c r="A281" s="4" t="s">
        <v>1038</v>
      </c>
      <c r="B281" s="4" t="s">
        <v>797</v>
      </c>
      <c r="C281" s="5">
        <f t="shared" si="118"/>
        <v>246</v>
      </c>
      <c r="D281" s="31"/>
      <c r="E281" s="32"/>
      <c r="F281" s="4" t="s">
        <v>480</v>
      </c>
      <c r="G281" s="4" t="s">
        <v>481</v>
      </c>
      <c r="H281" s="4">
        <v>5</v>
      </c>
      <c r="I281" s="4">
        <v>4</v>
      </c>
      <c r="J281" s="4">
        <v>0</v>
      </c>
      <c r="K281" s="4">
        <v>0</v>
      </c>
      <c r="L281" s="15">
        <f t="shared" si="120"/>
        <v>4</v>
      </c>
      <c r="M281" s="25" t="str">
        <f t="shared" si="121"/>
        <v/>
      </c>
      <c r="N281" s="27"/>
    </row>
    <row r="282" spans="1:14">
      <c r="A282" s="4" t="s">
        <v>1039</v>
      </c>
      <c r="B282" s="4" t="s">
        <v>800</v>
      </c>
      <c r="C282" s="5">
        <f t="shared" si="118"/>
        <v>247</v>
      </c>
      <c r="D282" s="31"/>
      <c r="E282" s="32"/>
      <c r="F282" s="4" t="s">
        <v>482</v>
      </c>
      <c r="G282" s="4" t="s">
        <v>483</v>
      </c>
      <c r="H282" s="4">
        <v>14</v>
      </c>
      <c r="I282" s="4">
        <v>7</v>
      </c>
      <c r="J282" s="4">
        <v>0</v>
      </c>
      <c r="K282" s="4">
        <v>0</v>
      </c>
      <c r="L282" s="15">
        <f t="shared" si="120"/>
        <v>7</v>
      </c>
      <c r="M282" s="25" t="str">
        <f t="shared" si="121"/>
        <v/>
      </c>
      <c r="N282" s="27"/>
    </row>
    <row r="283" spans="1:14" ht="15.6">
      <c r="A283" s="4"/>
      <c r="B283" s="4"/>
      <c r="C283" s="5"/>
      <c r="D283" s="31"/>
      <c r="E283" s="6"/>
      <c r="F283" s="7" t="s">
        <v>32</v>
      </c>
      <c r="G283" s="7">
        <v>7</v>
      </c>
      <c r="H283" s="7">
        <f t="shared" ref="H283:L283" si="122">SUM(H276:H282)</f>
        <v>61</v>
      </c>
      <c r="I283" s="7">
        <f t="shared" si="122"/>
        <v>26</v>
      </c>
      <c r="J283" s="7">
        <f t="shared" si="122"/>
        <v>0</v>
      </c>
      <c r="K283" s="7">
        <f t="shared" si="122"/>
        <v>0</v>
      </c>
      <c r="L283" s="7">
        <f t="shared" si="122"/>
        <v>26</v>
      </c>
      <c r="M283" s="25"/>
      <c r="N283" s="27"/>
    </row>
    <row r="284" spans="1:14">
      <c r="A284" s="4" t="s">
        <v>1040</v>
      </c>
      <c r="B284" s="4" t="s">
        <v>797</v>
      </c>
      <c r="C284" s="5">
        <f>C282+1</f>
        <v>248</v>
      </c>
      <c r="D284" s="31"/>
      <c r="E284" s="32" t="s">
        <v>484</v>
      </c>
      <c r="F284" s="5" t="s">
        <v>10</v>
      </c>
      <c r="G284" s="5" t="s">
        <v>485</v>
      </c>
      <c r="H284" s="4">
        <v>2</v>
      </c>
      <c r="I284" s="4">
        <v>1</v>
      </c>
      <c r="J284" s="4">
        <v>0</v>
      </c>
      <c r="K284" s="4">
        <v>0</v>
      </c>
      <c r="L284" s="15">
        <f t="shared" ref="L284:L292" si="123">I284+J284+K284</f>
        <v>1</v>
      </c>
      <c r="M284" s="25" t="str">
        <f t="shared" ref="M284:M292" si="124">IFERROR(IF(TEXT(DATEVALUE(SUBSTITUTE(TRIM(MID($H$2,FIND("on",$H$2)+3,99)),"'","-")),"dddd")=B284,"Week Off",IF(H284="","",IF($H284=0,"Case Not Received",""))),"")</f>
        <v/>
      </c>
      <c r="N284" s="28">
        <f>(COUNTIF(I284:I292,"0"))/9</f>
        <v>0.33333333333333331</v>
      </c>
    </row>
    <row r="285" spans="1:14">
      <c r="A285" s="4" t="s">
        <v>1041</v>
      </c>
      <c r="B285" s="4" t="s">
        <v>805</v>
      </c>
      <c r="C285" s="5">
        <f>C284+1</f>
        <v>249</v>
      </c>
      <c r="D285" s="31"/>
      <c r="E285" s="32"/>
      <c r="F285" s="5" t="s">
        <v>486</v>
      </c>
      <c r="G285" s="5" t="s">
        <v>487</v>
      </c>
      <c r="H285" s="4">
        <v>8</v>
      </c>
      <c r="I285" s="4">
        <v>6</v>
      </c>
      <c r="J285" s="4">
        <v>0</v>
      </c>
      <c r="K285" s="4">
        <v>0</v>
      </c>
      <c r="L285" s="15">
        <f t="shared" si="123"/>
        <v>6</v>
      </c>
      <c r="M285" s="25" t="str">
        <f t="shared" si="124"/>
        <v/>
      </c>
      <c r="N285" s="28"/>
    </row>
    <row r="286" spans="1:14">
      <c r="A286" s="4" t="s">
        <v>1042</v>
      </c>
      <c r="B286" s="4" t="s">
        <v>806</v>
      </c>
      <c r="C286" s="5">
        <f t="shared" ref="C286:C292" si="125">C285+1</f>
        <v>250</v>
      </c>
      <c r="D286" s="31"/>
      <c r="E286" s="32"/>
      <c r="F286" s="5" t="s">
        <v>488</v>
      </c>
      <c r="G286" s="5" t="s">
        <v>489</v>
      </c>
      <c r="H286" s="4">
        <v>5</v>
      </c>
      <c r="I286" s="4">
        <v>0</v>
      </c>
      <c r="J286" s="4">
        <v>0</v>
      </c>
      <c r="K286" s="4">
        <v>0</v>
      </c>
      <c r="L286" s="15">
        <f t="shared" si="123"/>
        <v>0</v>
      </c>
      <c r="M286" s="25" t="str">
        <f t="shared" si="124"/>
        <v>Week Off</v>
      </c>
      <c r="N286" s="28"/>
    </row>
    <row r="287" spans="1:14">
      <c r="A287" s="4" t="s">
        <v>1043</v>
      </c>
      <c r="B287" s="4" t="s">
        <v>806</v>
      </c>
      <c r="C287" s="5">
        <f t="shared" si="125"/>
        <v>251</v>
      </c>
      <c r="D287" s="31"/>
      <c r="E287" s="32"/>
      <c r="F287" s="5" t="s">
        <v>490</v>
      </c>
      <c r="G287" s="5" t="s">
        <v>491</v>
      </c>
      <c r="H287" s="4">
        <v>3</v>
      </c>
      <c r="I287" s="4">
        <v>0</v>
      </c>
      <c r="J287" s="4">
        <v>0</v>
      </c>
      <c r="K287" s="4">
        <v>0</v>
      </c>
      <c r="L287" s="15">
        <f t="shared" si="123"/>
        <v>0</v>
      </c>
      <c r="M287" s="25" t="str">
        <f t="shared" si="124"/>
        <v>Week Off</v>
      </c>
      <c r="N287" s="28"/>
    </row>
    <row r="288" spans="1:14">
      <c r="A288" s="4" t="s">
        <v>1044</v>
      </c>
      <c r="B288" s="4" t="s">
        <v>799</v>
      </c>
      <c r="C288" s="5">
        <f t="shared" si="125"/>
        <v>252</v>
      </c>
      <c r="D288" s="31"/>
      <c r="E288" s="32"/>
      <c r="F288" s="5" t="s">
        <v>492</v>
      </c>
      <c r="G288" s="5" t="s">
        <v>493</v>
      </c>
      <c r="H288" s="4">
        <v>2</v>
      </c>
      <c r="I288" s="4">
        <v>0</v>
      </c>
      <c r="J288" s="4">
        <v>0</v>
      </c>
      <c r="K288" s="4">
        <v>0</v>
      </c>
      <c r="L288" s="15">
        <f t="shared" si="123"/>
        <v>0</v>
      </c>
      <c r="M288" s="25" t="str">
        <f t="shared" si="124"/>
        <v/>
      </c>
      <c r="N288" s="28"/>
    </row>
    <row r="289" spans="1:14">
      <c r="A289" s="4" t="s">
        <v>1045</v>
      </c>
      <c r="B289" s="4" t="s">
        <v>802</v>
      </c>
      <c r="C289" s="5">
        <f t="shared" si="125"/>
        <v>253</v>
      </c>
      <c r="D289" s="31"/>
      <c r="E289" s="32"/>
      <c r="F289" s="5" t="s">
        <v>494</v>
      </c>
      <c r="G289" s="5" t="s">
        <v>495</v>
      </c>
      <c r="H289" s="4">
        <v>6</v>
      </c>
      <c r="I289" s="4">
        <v>5</v>
      </c>
      <c r="J289" s="4">
        <v>0</v>
      </c>
      <c r="K289" s="4">
        <v>0</v>
      </c>
      <c r="L289" s="15">
        <f t="shared" si="123"/>
        <v>5</v>
      </c>
      <c r="M289" s="25" t="str">
        <f t="shared" si="124"/>
        <v/>
      </c>
      <c r="N289" s="28"/>
    </row>
    <row r="290" spans="1:14">
      <c r="A290" s="4" t="s">
        <v>1046</v>
      </c>
      <c r="B290" s="4" t="s">
        <v>802</v>
      </c>
      <c r="C290" s="5">
        <f t="shared" si="125"/>
        <v>254</v>
      </c>
      <c r="D290" s="31"/>
      <c r="E290" s="32"/>
      <c r="F290" s="5" t="s">
        <v>496</v>
      </c>
      <c r="G290" s="5" t="s">
        <v>497</v>
      </c>
      <c r="H290" s="4">
        <v>3</v>
      </c>
      <c r="I290" s="4">
        <v>2</v>
      </c>
      <c r="J290" s="4">
        <v>0</v>
      </c>
      <c r="K290" s="4">
        <v>0</v>
      </c>
      <c r="L290" s="15">
        <f t="shared" si="123"/>
        <v>2</v>
      </c>
      <c r="M290" s="25" t="str">
        <f t="shared" si="124"/>
        <v/>
      </c>
      <c r="N290" s="28"/>
    </row>
    <row r="291" spans="1:14">
      <c r="A291" s="4" t="s">
        <v>1047</v>
      </c>
      <c r="B291" s="4" t="s">
        <v>800</v>
      </c>
      <c r="C291" s="5">
        <f t="shared" si="125"/>
        <v>255</v>
      </c>
      <c r="D291" s="31"/>
      <c r="E291" s="32"/>
      <c r="F291" s="5" t="s">
        <v>498</v>
      </c>
      <c r="G291" s="5" t="s">
        <v>499</v>
      </c>
      <c r="H291" s="4">
        <v>8</v>
      </c>
      <c r="I291" s="4">
        <v>6</v>
      </c>
      <c r="J291" s="4">
        <v>0</v>
      </c>
      <c r="K291" s="4">
        <v>0</v>
      </c>
      <c r="L291" s="15">
        <f t="shared" si="123"/>
        <v>6</v>
      </c>
      <c r="M291" s="25" t="str">
        <f t="shared" si="124"/>
        <v/>
      </c>
      <c r="N291" s="28"/>
    </row>
    <row r="292" spans="1:14">
      <c r="A292" s="4" t="s">
        <v>1048</v>
      </c>
      <c r="B292" s="4" t="s">
        <v>799</v>
      </c>
      <c r="C292" s="5">
        <f t="shared" si="125"/>
        <v>256</v>
      </c>
      <c r="D292" s="31"/>
      <c r="E292" s="32"/>
      <c r="F292" s="5" t="s">
        <v>500</v>
      </c>
      <c r="G292" s="5" t="s">
        <v>501</v>
      </c>
      <c r="H292" s="4">
        <v>6</v>
      </c>
      <c r="I292" s="4">
        <v>2</v>
      </c>
      <c r="J292" s="4">
        <v>0</v>
      </c>
      <c r="K292" s="4">
        <v>0</v>
      </c>
      <c r="L292" s="15">
        <f t="shared" si="123"/>
        <v>2</v>
      </c>
      <c r="M292" s="25" t="str">
        <f t="shared" si="124"/>
        <v/>
      </c>
      <c r="N292" s="28"/>
    </row>
    <row r="293" spans="1:14" ht="28.8">
      <c r="A293" s="4"/>
      <c r="B293" s="4"/>
      <c r="C293" s="5"/>
      <c r="D293" s="19"/>
      <c r="E293" s="6"/>
      <c r="F293" s="7" t="s">
        <v>32</v>
      </c>
      <c r="G293" s="7">
        <v>9</v>
      </c>
      <c r="H293" s="7">
        <f t="shared" ref="H293:L293" si="126">SUM(H284:H292)</f>
        <v>43</v>
      </c>
      <c r="I293" s="7">
        <f t="shared" si="126"/>
        <v>22</v>
      </c>
      <c r="J293" s="7">
        <f t="shared" si="126"/>
        <v>0</v>
      </c>
      <c r="K293" s="7">
        <f t="shared" si="126"/>
        <v>0</v>
      </c>
      <c r="L293" s="7">
        <f t="shared" si="126"/>
        <v>22</v>
      </c>
      <c r="M293" s="25"/>
      <c r="N293" s="28"/>
    </row>
    <row r="294" spans="1:14" ht="28.8">
      <c r="A294" s="4"/>
      <c r="B294" s="4"/>
      <c r="C294" s="5"/>
      <c r="D294" s="19"/>
      <c r="E294" s="8"/>
      <c r="F294" s="9" t="s">
        <v>121</v>
      </c>
      <c r="G294" s="9">
        <v>72</v>
      </c>
      <c r="H294" s="16">
        <f t="shared" ref="H294:L294" si="127">SUM(H293,H283,H275,H264,H256,H247,H238,H225)</f>
        <v>417</v>
      </c>
      <c r="I294" s="16">
        <f t="shared" si="127"/>
        <v>225</v>
      </c>
      <c r="J294" s="16">
        <f t="shared" si="127"/>
        <v>0</v>
      </c>
      <c r="K294" s="16">
        <f t="shared" si="127"/>
        <v>0</v>
      </c>
      <c r="L294" s="16">
        <f t="shared" si="127"/>
        <v>225</v>
      </c>
      <c r="M294" s="25"/>
      <c r="N294" s="4"/>
    </row>
    <row r="295" spans="1:14">
      <c r="A295" s="24" t="s">
        <v>1201</v>
      </c>
      <c r="B295" s="4" t="s">
        <v>797</v>
      </c>
      <c r="C295" s="5">
        <f>C292+1</f>
        <v>257</v>
      </c>
      <c r="D295" s="31" t="s">
        <v>502</v>
      </c>
      <c r="E295" s="32" t="s">
        <v>503</v>
      </c>
      <c r="F295" s="5" t="s">
        <v>10</v>
      </c>
      <c r="G295" s="5" t="s">
        <v>504</v>
      </c>
      <c r="H295" s="4">
        <v>5</v>
      </c>
      <c r="I295" s="4">
        <v>4</v>
      </c>
      <c r="J295" s="4">
        <v>0</v>
      </c>
      <c r="K295" s="4">
        <v>0</v>
      </c>
      <c r="L295" s="15">
        <f t="shared" ref="L295:L300" si="128">I295+J295+K295</f>
        <v>4</v>
      </c>
      <c r="M295" s="25" t="str">
        <f t="shared" ref="M295:M300" si="129">IFERROR(IF(TEXT(DATEVALUE(SUBSTITUTE(TRIM(MID($H$2,FIND("on",$H$2)+3,99)),"'","-")),"dddd")=B295,"Week Off",IF(H295="","",IF($H295=0,"Case Not Received",""))),"")</f>
        <v/>
      </c>
      <c r="N295" s="28">
        <f>(COUNTIF(I295:I300,"0"))/6</f>
        <v>0.33333333333333331</v>
      </c>
    </row>
    <row r="296" spans="1:14">
      <c r="A296" s="4" t="s">
        <v>1049</v>
      </c>
      <c r="B296" s="4" t="s">
        <v>800</v>
      </c>
      <c r="C296" s="5">
        <f>C295+1</f>
        <v>258</v>
      </c>
      <c r="D296" s="31"/>
      <c r="E296" s="32"/>
      <c r="F296" s="5" t="s">
        <v>505</v>
      </c>
      <c r="G296" s="5" t="s">
        <v>506</v>
      </c>
      <c r="H296" s="4">
        <v>11</v>
      </c>
      <c r="I296" s="4">
        <v>5</v>
      </c>
      <c r="J296" s="4">
        <v>0</v>
      </c>
      <c r="K296" s="4">
        <v>0</v>
      </c>
      <c r="L296" s="15">
        <f t="shared" si="128"/>
        <v>5</v>
      </c>
      <c r="M296" s="25" t="str">
        <f t="shared" si="129"/>
        <v/>
      </c>
      <c r="N296" s="28"/>
    </row>
    <row r="297" spans="1:14">
      <c r="A297" s="24" t="s">
        <v>1193</v>
      </c>
      <c r="B297" s="4" t="s">
        <v>798</v>
      </c>
      <c r="C297" s="5">
        <f t="shared" ref="C297:C300" si="130">C296+1</f>
        <v>259</v>
      </c>
      <c r="D297" s="31"/>
      <c r="E297" s="32"/>
      <c r="F297" s="5" t="s">
        <v>507</v>
      </c>
      <c r="G297" s="5" t="s">
        <v>508</v>
      </c>
      <c r="H297" s="4">
        <v>4</v>
      </c>
      <c r="I297" s="4">
        <v>0</v>
      </c>
      <c r="J297" s="4">
        <v>0</v>
      </c>
      <c r="K297" s="4">
        <v>0</v>
      </c>
      <c r="L297" s="15">
        <f t="shared" si="128"/>
        <v>0</v>
      </c>
      <c r="M297" s="25" t="str">
        <f t="shared" si="129"/>
        <v>Week Off</v>
      </c>
      <c r="N297" s="28"/>
    </row>
    <row r="298" spans="1:14">
      <c r="A298" s="4" t="s">
        <v>1051</v>
      </c>
      <c r="B298" s="4" t="s">
        <v>799</v>
      </c>
      <c r="C298" s="5">
        <f t="shared" si="130"/>
        <v>260</v>
      </c>
      <c r="D298" s="31"/>
      <c r="E298" s="32"/>
      <c r="F298" s="5" t="s">
        <v>509</v>
      </c>
      <c r="G298" s="5" t="s">
        <v>510</v>
      </c>
      <c r="H298" s="4">
        <v>2</v>
      </c>
      <c r="I298" s="4">
        <v>2</v>
      </c>
      <c r="J298" s="4">
        <v>0</v>
      </c>
      <c r="K298" s="4">
        <v>0</v>
      </c>
      <c r="L298" s="15">
        <f t="shared" si="128"/>
        <v>2</v>
      </c>
      <c r="M298" s="25" t="str">
        <f t="shared" si="129"/>
        <v/>
      </c>
      <c r="N298" s="28"/>
    </row>
    <row r="299" spans="1:14">
      <c r="A299" s="4" t="s">
        <v>1052</v>
      </c>
      <c r="B299" s="4" t="s">
        <v>801</v>
      </c>
      <c r="C299" s="5">
        <f t="shared" si="130"/>
        <v>261</v>
      </c>
      <c r="D299" s="31"/>
      <c r="E299" s="32"/>
      <c r="F299" s="5" t="s">
        <v>511</v>
      </c>
      <c r="G299" s="5" t="s">
        <v>512</v>
      </c>
      <c r="H299" s="4">
        <v>9</v>
      </c>
      <c r="I299" s="4">
        <v>5</v>
      </c>
      <c r="J299" s="4">
        <v>0</v>
      </c>
      <c r="K299" s="4">
        <v>0</v>
      </c>
      <c r="L299" s="15">
        <f t="shared" si="128"/>
        <v>5</v>
      </c>
      <c r="M299" s="25" t="str">
        <f t="shared" si="129"/>
        <v/>
      </c>
      <c r="N299" s="28"/>
    </row>
    <row r="300" spans="1:14">
      <c r="A300" s="4" t="s">
        <v>1053</v>
      </c>
      <c r="B300" s="4" t="s">
        <v>802</v>
      </c>
      <c r="C300" s="5">
        <f t="shared" si="130"/>
        <v>262</v>
      </c>
      <c r="D300" s="31"/>
      <c r="E300" s="32"/>
      <c r="F300" s="5" t="s">
        <v>513</v>
      </c>
      <c r="G300" s="5" t="s">
        <v>514</v>
      </c>
      <c r="H300" s="4">
        <v>2</v>
      </c>
      <c r="I300" s="4">
        <v>0</v>
      </c>
      <c r="J300" s="4">
        <v>0</v>
      </c>
      <c r="K300" s="4">
        <v>0</v>
      </c>
      <c r="L300" s="15">
        <f t="shared" si="128"/>
        <v>0</v>
      </c>
      <c r="M300" s="25" t="str">
        <f t="shared" si="129"/>
        <v/>
      </c>
      <c r="N300" s="28"/>
    </row>
    <row r="301" spans="1:14" ht="15.6">
      <c r="A301" s="4"/>
      <c r="B301" s="4"/>
      <c r="C301" s="5"/>
      <c r="D301" s="31"/>
      <c r="E301" s="6"/>
      <c r="F301" s="7" t="s">
        <v>32</v>
      </c>
      <c r="G301" s="7">
        <v>6</v>
      </c>
      <c r="H301" s="7">
        <f t="shared" ref="H301:L301" si="131">SUM(H295:H300)</f>
        <v>33</v>
      </c>
      <c r="I301" s="7">
        <f t="shared" si="131"/>
        <v>16</v>
      </c>
      <c r="J301" s="7">
        <f t="shared" si="131"/>
        <v>0</v>
      </c>
      <c r="K301" s="7">
        <f t="shared" si="131"/>
        <v>0</v>
      </c>
      <c r="L301" s="7">
        <f t="shared" si="131"/>
        <v>16</v>
      </c>
      <c r="M301" s="25"/>
      <c r="N301" s="28"/>
    </row>
    <row r="302" spans="1:14">
      <c r="A302" s="4" t="s">
        <v>1054</v>
      </c>
      <c r="B302" s="4" t="s">
        <v>797</v>
      </c>
      <c r="C302" s="5">
        <f>C300+1</f>
        <v>263</v>
      </c>
      <c r="D302" s="31"/>
      <c r="E302" s="32" t="s">
        <v>502</v>
      </c>
      <c r="F302" s="4" t="s">
        <v>10</v>
      </c>
      <c r="G302" s="4" t="s">
        <v>515</v>
      </c>
      <c r="H302" s="4">
        <v>9</v>
      </c>
      <c r="I302" s="4">
        <v>5</v>
      </c>
      <c r="J302" s="4">
        <v>0</v>
      </c>
      <c r="K302" s="4">
        <v>0</v>
      </c>
      <c r="L302" s="15">
        <f t="shared" ref="L302:L308" si="132">I302+J302+K302</f>
        <v>5</v>
      </c>
      <c r="M302" s="25" t="str">
        <f t="shared" ref="M302:M308" si="133">IFERROR(IF(TEXT(DATEVALUE(SUBSTITUTE(TRIM(MID($H$2,FIND("on",$H$2)+3,99)),"'","-")),"dddd")=B302,"Week Off",IF(H302="","",IF($H302=0,"Case Not Received",""))),"")</f>
        <v/>
      </c>
      <c r="N302" s="27">
        <f>(COUNTIF(I302:I308,"0"))/11</f>
        <v>0.27272727272727271</v>
      </c>
    </row>
    <row r="303" spans="1:14">
      <c r="A303" s="4" t="s">
        <v>1055</v>
      </c>
      <c r="B303" s="4" t="s">
        <v>801</v>
      </c>
      <c r="C303" s="5">
        <f>C302+1</f>
        <v>264</v>
      </c>
      <c r="D303" s="31"/>
      <c r="E303" s="32"/>
      <c r="F303" s="4" t="s">
        <v>516</v>
      </c>
      <c r="G303" s="4" t="s">
        <v>517</v>
      </c>
      <c r="H303" s="4">
        <v>7</v>
      </c>
      <c r="I303" s="4">
        <v>3</v>
      </c>
      <c r="J303" s="4">
        <v>0</v>
      </c>
      <c r="K303" s="4">
        <v>0</v>
      </c>
      <c r="L303" s="15">
        <f t="shared" si="132"/>
        <v>3</v>
      </c>
      <c r="M303" s="25" t="str">
        <f t="shared" si="133"/>
        <v/>
      </c>
      <c r="N303" s="27"/>
    </row>
    <row r="304" spans="1:14">
      <c r="A304" s="4" t="s">
        <v>1056</v>
      </c>
      <c r="B304" s="4" t="s">
        <v>800</v>
      </c>
      <c r="C304" s="5">
        <f t="shared" ref="C304:C308" si="134">C303+1</f>
        <v>265</v>
      </c>
      <c r="D304" s="31"/>
      <c r="E304" s="32"/>
      <c r="F304" s="4" t="s">
        <v>521</v>
      </c>
      <c r="G304" s="4" t="s">
        <v>522</v>
      </c>
      <c r="H304" s="4">
        <v>7</v>
      </c>
      <c r="I304" s="4">
        <v>4</v>
      </c>
      <c r="J304" s="4">
        <v>0</v>
      </c>
      <c r="K304" s="4">
        <v>0</v>
      </c>
      <c r="L304" s="15">
        <f t="shared" si="132"/>
        <v>4</v>
      </c>
      <c r="M304" s="25" t="str">
        <f t="shared" si="133"/>
        <v/>
      </c>
      <c r="N304" s="27"/>
    </row>
    <row r="305" spans="1:14">
      <c r="A305" s="4" t="s">
        <v>1057</v>
      </c>
      <c r="B305" s="4" t="s">
        <v>799</v>
      </c>
      <c r="C305" s="5">
        <f t="shared" si="134"/>
        <v>266</v>
      </c>
      <c r="D305" s="31"/>
      <c r="E305" s="32"/>
      <c r="F305" s="4" t="s">
        <v>527</v>
      </c>
      <c r="G305" s="4" t="s">
        <v>528</v>
      </c>
      <c r="H305" s="4">
        <v>14</v>
      </c>
      <c r="I305" s="4">
        <v>0</v>
      </c>
      <c r="J305" s="4">
        <v>0</v>
      </c>
      <c r="K305" s="4">
        <v>0</v>
      </c>
      <c r="L305" s="15">
        <f t="shared" si="132"/>
        <v>0</v>
      </c>
      <c r="M305" s="25" t="str">
        <f t="shared" si="133"/>
        <v/>
      </c>
      <c r="N305" s="27"/>
    </row>
    <row r="306" spans="1:14">
      <c r="A306" s="4" t="s">
        <v>1058</v>
      </c>
      <c r="B306" s="4" t="s">
        <v>798</v>
      </c>
      <c r="C306" s="5">
        <f t="shared" si="134"/>
        <v>267</v>
      </c>
      <c r="D306" s="31"/>
      <c r="E306" s="32"/>
      <c r="F306" s="4" t="s">
        <v>529</v>
      </c>
      <c r="G306" s="4" t="s">
        <v>530</v>
      </c>
      <c r="H306" s="4">
        <v>6</v>
      </c>
      <c r="I306" s="4">
        <v>0</v>
      </c>
      <c r="J306" s="4">
        <v>0</v>
      </c>
      <c r="K306" s="4">
        <v>0</v>
      </c>
      <c r="L306" s="15">
        <f t="shared" si="132"/>
        <v>0</v>
      </c>
      <c r="M306" s="25" t="str">
        <f t="shared" si="133"/>
        <v>Week Off</v>
      </c>
      <c r="N306" s="27"/>
    </row>
    <row r="307" spans="1:14">
      <c r="A307" s="4" t="s">
        <v>1059</v>
      </c>
      <c r="B307" s="4" t="s">
        <v>800</v>
      </c>
      <c r="C307" s="5">
        <f t="shared" si="134"/>
        <v>268</v>
      </c>
      <c r="D307" s="31"/>
      <c r="E307" s="32"/>
      <c r="F307" s="4" t="s">
        <v>531</v>
      </c>
      <c r="G307" s="4" t="s">
        <v>532</v>
      </c>
      <c r="H307" s="4">
        <v>6</v>
      </c>
      <c r="I307" s="4">
        <v>0</v>
      </c>
      <c r="J307" s="4">
        <v>0</v>
      </c>
      <c r="K307" s="4">
        <v>0</v>
      </c>
      <c r="L307" s="15">
        <f t="shared" si="132"/>
        <v>0</v>
      </c>
      <c r="M307" s="25" t="str">
        <f t="shared" si="133"/>
        <v/>
      </c>
      <c r="N307" s="27"/>
    </row>
    <row r="308" spans="1:14">
      <c r="A308" s="4" t="s">
        <v>1060</v>
      </c>
      <c r="B308" s="4" t="s">
        <v>801</v>
      </c>
      <c r="C308" s="5">
        <f t="shared" si="134"/>
        <v>269</v>
      </c>
      <c r="D308" s="31"/>
      <c r="E308" s="32"/>
      <c r="F308" s="4" t="s">
        <v>533</v>
      </c>
      <c r="G308" s="4" t="s">
        <v>534</v>
      </c>
      <c r="H308" s="4">
        <v>5</v>
      </c>
      <c r="I308" s="4">
        <v>2</v>
      </c>
      <c r="J308" s="4">
        <v>0</v>
      </c>
      <c r="K308" s="4">
        <v>0</v>
      </c>
      <c r="L308" s="15">
        <f t="shared" si="132"/>
        <v>2</v>
      </c>
      <c r="M308" s="25" t="str">
        <f t="shared" si="133"/>
        <v/>
      </c>
      <c r="N308" s="27"/>
    </row>
    <row r="309" spans="1:14" ht="15.6">
      <c r="A309" s="4"/>
      <c r="B309" s="4"/>
      <c r="C309" s="5"/>
      <c r="D309" s="31"/>
      <c r="E309" s="6"/>
      <c r="F309" s="7" t="s">
        <v>32</v>
      </c>
      <c r="G309" s="7">
        <v>7</v>
      </c>
      <c r="H309" s="7">
        <f t="shared" ref="H309:L309" si="135">SUM(H302:H308)</f>
        <v>54</v>
      </c>
      <c r="I309" s="7">
        <f t="shared" si="135"/>
        <v>14</v>
      </c>
      <c r="J309" s="7">
        <f t="shared" si="135"/>
        <v>0</v>
      </c>
      <c r="K309" s="7">
        <f t="shared" si="135"/>
        <v>0</v>
      </c>
      <c r="L309" s="7">
        <f t="shared" si="135"/>
        <v>14</v>
      </c>
      <c r="M309" s="25"/>
      <c r="N309" s="27"/>
    </row>
    <row r="310" spans="1:14">
      <c r="A310" s="4" t="s">
        <v>1061</v>
      </c>
      <c r="B310" s="4" t="s">
        <v>799</v>
      </c>
      <c r="C310" s="5">
        <f>C308+1</f>
        <v>270</v>
      </c>
      <c r="D310" s="31"/>
      <c r="E310" s="34" t="s">
        <v>523</v>
      </c>
      <c r="F310" s="4" t="s">
        <v>525</v>
      </c>
      <c r="G310" s="4" t="s">
        <v>526</v>
      </c>
      <c r="H310" s="4">
        <v>14</v>
      </c>
      <c r="I310" s="4">
        <v>4</v>
      </c>
      <c r="J310" s="4">
        <v>0</v>
      </c>
      <c r="K310" s="4">
        <v>0</v>
      </c>
      <c r="L310" s="15">
        <f t="shared" ref="L310:L313" si="136">I310+J310+K310</f>
        <v>4</v>
      </c>
      <c r="M310" s="25" t="str">
        <f t="shared" ref="M310:M313" si="137">IFERROR(IF(TEXT(DATEVALUE(SUBSTITUTE(TRIM(MID($H$2,FIND("on",$H$2)+3,99)),"'","-")),"dddd")=B310,"Week Off",IF(H310="","",IF($H310=0,"Case Not Received",""))),"")</f>
        <v/>
      </c>
      <c r="N310" s="27"/>
    </row>
    <row r="311" spans="1:14">
      <c r="A311" s="24" t="s">
        <v>1204</v>
      </c>
      <c r="B311" s="4" t="s">
        <v>798</v>
      </c>
      <c r="C311" s="5">
        <f>C310+1</f>
        <v>271</v>
      </c>
      <c r="D311" s="31"/>
      <c r="E311" s="35"/>
      <c r="F311" s="4" t="s">
        <v>523</v>
      </c>
      <c r="G311" s="4" t="s">
        <v>524</v>
      </c>
      <c r="H311" s="4">
        <v>10</v>
      </c>
      <c r="I311" s="4">
        <v>0</v>
      </c>
      <c r="J311" s="4">
        <v>0</v>
      </c>
      <c r="K311" s="4">
        <v>0</v>
      </c>
      <c r="L311" s="15">
        <f t="shared" si="136"/>
        <v>0</v>
      </c>
      <c r="M311" s="25" t="str">
        <f t="shared" si="137"/>
        <v>Week Off</v>
      </c>
      <c r="N311" s="27"/>
    </row>
    <row r="312" spans="1:14">
      <c r="A312" s="4" t="s">
        <v>1062</v>
      </c>
      <c r="B312" s="4" t="s">
        <v>797</v>
      </c>
      <c r="C312" s="5">
        <f t="shared" ref="C312:C313" si="138">C311+1</f>
        <v>272</v>
      </c>
      <c r="D312" s="31"/>
      <c r="E312" s="35"/>
      <c r="F312" s="4" t="s">
        <v>518</v>
      </c>
      <c r="G312" s="4" t="s">
        <v>519</v>
      </c>
      <c r="H312" s="4">
        <v>5</v>
      </c>
      <c r="I312" s="4">
        <v>2</v>
      </c>
      <c r="J312" s="4">
        <v>0</v>
      </c>
      <c r="K312" s="4">
        <v>0</v>
      </c>
      <c r="L312" s="15">
        <f t="shared" si="136"/>
        <v>2</v>
      </c>
      <c r="M312" s="25" t="str">
        <f t="shared" si="137"/>
        <v/>
      </c>
      <c r="N312" s="27"/>
    </row>
    <row r="313" spans="1:14">
      <c r="A313" s="4" t="s">
        <v>1063</v>
      </c>
      <c r="B313" s="4" t="s">
        <v>802</v>
      </c>
      <c r="C313" s="5">
        <f t="shared" si="138"/>
        <v>273</v>
      </c>
      <c r="D313" s="31"/>
      <c r="E313" s="35"/>
      <c r="F313" s="4" t="s">
        <v>518</v>
      </c>
      <c r="G313" s="4" t="s">
        <v>520</v>
      </c>
      <c r="H313" s="4">
        <v>8</v>
      </c>
      <c r="I313" s="4">
        <v>5</v>
      </c>
      <c r="J313" s="4">
        <v>0</v>
      </c>
      <c r="K313" s="4">
        <v>0</v>
      </c>
      <c r="L313" s="15">
        <f t="shared" si="136"/>
        <v>5</v>
      </c>
      <c r="M313" s="25" t="str">
        <f t="shared" si="137"/>
        <v/>
      </c>
      <c r="N313" s="27"/>
    </row>
    <row r="314" spans="1:14" ht="15.6">
      <c r="A314" s="4"/>
      <c r="B314" s="4"/>
      <c r="C314" s="5"/>
      <c r="D314" s="31"/>
      <c r="E314" s="6"/>
      <c r="F314" s="7" t="s">
        <v>32</v>
      </c>
      <c r="G314" s="7">
        <v>4</v>
      </c>
      <c r="H314" s="7">
        <f t="shared" ref="H314:L314" si="139">SUM(H310:H313)</f>
        <v>37</v>
      </c>
      <c r="I314" s="7">
        <f t="shared" si="139"/>
        <v>11</v>
      </c>
      <c r="J314" s="7">
        <f t="shared" si="139"/>
        <v>0</v>
      </c>
      <c r="K314" s="7">
        <f t="shared" si="139"/>
        <v>0</v>
      </c>
      <c r="L314" s="7">
        <f t="shared" si="139"/>
        <v>11</v>
      </c>
      <c r="M314" s="25"/>
      <c r="N314" s="27"/>
    </row>
    <row r="315" spans="1:14" ht="21.6" customHeight="1">
      <c r="A315" s="4" t="s">
        <v>1064</v>
      </c>
      <c r="B315" s="4" t="s">
        <v>803</v>
      </c>
      <c r="C315" s="5">
        <f t="shared" ref="C315" si="140">C313+1</f>
        <v>274</v>
      </c>
      <c r="D315" s="31"/>
      <c r="E315" s="32" t="s">
        <v>535</v>
      </c>
      <c r="F315" s="5" t="s">
        <v>10</v>
      </c>
      <c r="G315" s="5" t="s">
        <v>536</v>
      </c>
      <c r="H315" s="4">
        <v>10</v>
      </c>
      <c r="I315" s="4">
        <v>2</v>
      </c>
      <c r="J315" s="4">
        <v>0</v>
      </c>
      <c r="K315" s="4">
        <v>0</v>
      </c>
      <c r="L315" s="15">
        <f t="shared" ref="L315:L321" si="141">I315+J315+K315</f>
        <v>2</v>
      </c>
      <c r="M315" s="25" t="str">
        <f t="shared" ref="M315:M321" si="142">IFERROR(IF(TEXT(DATEVALUE(SUBSTITUTE(TRIM(MID($H$2,FIND("on",$H$2)+3,99)),"'","-")),"dddd")=B315,"Week Off",IF(H315="","",IF($H315=0,"Case Not Received",""))),"")</f>
        <v/>
      </c>
      <c r="N315" s="28">
        <f>(COUNTIF(I315:I321,"0"))/11</f>
        <v>9.0909090909090912E-2</v>
      </c>
    </row>
    <row r="316" spans="1:14">
      <c r="A316" s="4" t="s">
        <v>1065</v>
      </c>
      <c r="B316" s="4" t="s">
        <v>803</v>
      </c>
      <c r="C316" s="5">
        <f>C315+1</f>
        <v>275</v>
      </c>
      <c r="D316" s="31"/>
      <c r="E316" s="32"/>
      <c r="F316" s="5" t="s">
        <v>542</v>
      </c>
      <c r="G316" s="5" t="s">
        <v>543</v>
      </c>
      <c r="H316" s="4">
        <v>7</v>
      </c>
      <c r="I316" s="4">
        <v>2</v>
      </c>
      <c r="J316" s="4">
        <v>0</v>
      </c>
      <c r="K316" s="4">
        <v>0</v>
      </c>
      <c r="L316" s="15">
        <f t="shared" si="141"/>
        <v>2</v>
      </c>
      <c r="M316" s="25" t="str">
        <f t="shared" si="142"/>
        <v/>
      </c>
      <c r="N316" s="28"/>
    </row>
    <row r="317" spans="1:14">
      <c r="A317" s="4" t="s">
        <v>1066</v>
      </c>
      <c r="B317" s="4" t="s">
        <v>802</v>
      </c>
      <c r="C317" s="5">
        <f t="shared" ref="C317:C321" si="143">C316+1</f>
        <v>276</v>
      </c>
      <c r="D317" s="31"/>
      <c r="E317" s="32"/>
      <c r="F317" s="5" t="s">
        <v>542</v>
      </c>
      <c r="G317" s="5" t="s">
        <v>544</v>
      </c>
      <c r="H317" s="4">
        <v>6</v>
      </c>
      <c r="I317" s="4">
        <v>0</v>
      </c>
      <c r="J317" s="4">
        <v>0</v>
      </c>
      <c r="K317" s="4">
        <v>0</v>
      </c>
      <c r="L317" s="15">
        <f t="shared" si="141"/>
        <v>0</v>
      </c>
      <c r="M317" s="25" t="str">
        <f t="shared" si="142"/>
        <v/>
      </c>
      <c r="N317" s="28"/>
    </row>
    <row r="318" spans="1:14">
      <c r="A318" s="4" t="s">
        <v>1067</v>
      </c>
      <c r="B318" s="4" t="s">
        <v>803</v>
      </c>
      <c r="C318" s="5">
        <f t="shared" si="143"/>
        <v>277</v>
      </c>
      <c r="D318" s="31"/>
      <c r="E318" s="32"/>
      <c r="F318" s="5" t="s">
        <v>545</v>
      </c>
      <c r="G318" s="5" t="s">
        <v>546</v>
      </c>
      <c r="H318" s="4">
        <v>9</v>
      </c>
      <c r="I318" s="4">
        <v>5</v>
      </c>
      <c r="J318" s="4">
        <v>0</v>
      </c>
      <c r="K318" s="4">
        <v>0</v>
      </c>
      <c r="L318" s="15">
        <f t="shared" si="141"/>
        <v>5</v>
      </c>
      <c r="M318" s="25" t="str">
        <f t="shared" si="142"/>
        <v/>
      </c>
      <c r="N318" s="28"/>
    </row>
    <row r="319" spans="1:14">
      <c r="A319" s="4" t="s">
        <v>1068</v>
      </c>
      <c r="B319" s="4" t="s">
        <v>799</v>
      </c>
      <c r="C319" s="5">
        <f t="shared" si="143"/>
        <v>278</v>
      </c>
      <c r="D319" s="31"/>
      <c r="E319" s="32"/>
      <c r="F319" s="5" t="s">
        <v>549</v>
      </c>
      <c r="G319" s="5" t="s">
        <v>550</v>
      </c>
      <c r="H319" s="4">
        <v>11</v>
      </c>
      <c r="I319" s="4">
        <v>4</v>
      </c>
      <c r="J319" s="4">
        <v>0</v>
      </c>
      <c r="K319" s="4">
        <v>0</v>
      </c>
      <c r="L319" s="15">
        <f t="shared" si="141"/>
        <v>4</v>
      </c>
      <c r="M319" s="25" t="str">
        <f t="shared" si="142"/>
        <v/>
      </c>
      <c r="N319" s="28"/>
    </row>
    <row r="320" spans="1:14">
      <c r="A320" s="4" t="s">
        <v>1069</v>
      </c>
      <c r="B320" s="4" t="s">
        <v>797</v>
      </c>
      <c r="C320" s="5">
        <f t="shared" si="143"/>
        <v>279</v>
      </c>
      <c r="D320" s="31"/>
      <c r="E320" s="32"/>
      <c r="F320" s="5" t="s">
        <v>551</v>
      </c>
      <c r="G320" s="5" t="s">
        <v>552</v>
      </c>
      <c r="H320" s="4">
        <v>5</v>
      </c>
      <c r="I320" s="4">
        <v>1</v>
      </c>
      <c r="J320" s="4">
        <v>0</v>
      </c>
      <c r="K320" s="4">
        <v>0</v>
      </c>
      <c r="L320" s="15">
        <f t="shared" si="141"/>
        <v>1</v>
      </c>
      <c r="M320" s="25" t="str">
        <f t="shared" si="142"/>
        <v/>
      </c>
      <c r="N320" s="28"/>
    </row>
    <row r="321" spans="1:14">
      <c r="A321" s="4" t="s">
        <v>1070</v>
      </c>
      <c r="B321" s="4" t="s">
        <v>802</v>
      </c>
      <c r="C321" s="5">
        <f t="shared" si="143"/>
        <v>280</v>
      </c>
      <c r="D321" s="31"/>
      <c r="E321" s="32"/>
      <c r="F321" s="5" t="s">
        <v>553</v>
      </c>
      <c r="G321" s="5" t="s">
        <v>554</v>
      </c>
      <c r="H321" s="4">
        <v>11</v>
      </c>
      <c r="I321" s="4">
        <v>5</v>
      </c>
      <c r="J321" s="4">
        <v>0</v>
      </c>
      <c r="K321" s="4">
        <v>0</v>
      </c>
      <c r="L321" s="15">
        <f t="shared" si="141"/>
        <v>5</v>
      </c>
      <c r="M321" s="25" t="str">
        <f t="shared" si="142"/>
        <v/>
      </c>
      <c r="N321" s="28"/>
    </row>
    <row r="322" spans="1:14" ht="15.6">
      <c r="A322" s="4"/>
      <c r="B322" s="4"/>
      <c r="C322" s="5"/>
      <c r="D322" s="31"/>
      <c r="E322" s="6"/>
      <c r="F322" s="7" t="s">
        <v>32</v>
      </c>
      <c r="G322" s="7">
        <v>7</v>
      </c>
      <c r="H322" s="7">
        <f t="shared" ref="H322:L322" si="144">SUM(H315:H321)</f>
        <v>59</v>
      </c>
      <c r="I322" s="7">
        <f t="shared" si="144"/>
        <v>19</v>
      </c>
      <c r="J322" s="7">
        <f t="shared" si="144"/>
        <v>0</v>
      </c>
      <c r="K322" s="7">
        <f t="shared" si="144"/>
        <v>0</v>
      </c>
      <c r="L322" s="7">
        <f t="shared" si="144"/>
        <v>19</v>
      </c>
      <c r="M322" s="25"/>
      <c r="N322" s="28"/>
    </row>
    <row r="323" spans="1:14">
      <c r="A323" s="4" t="s">
        <v>1071</v>
      </c>
      <c r="B323" s="4" t="s">
        <v>800</v>
      </c>
      <c r="C323" s="5">
        <f>C321+1</f>
        <v>281</v>
      </c>
      <c r="D323" s="31"/>
      <c r="E323" s="32" t="s">
        <v>539</v>
      </c>
      <c r="F323" s="5" t="s">
        <v>547</v>
      </c>
      <c r="G323" s="5" t="s">
        <v>548</v>
      </c>
      <c r="H323" s="4">
        <v>7</v>
      </c>
      <c r="I323" s="4">
        <v>3</v>
      </c>
      <c r="J323" s="4">
        <v>0</v>
      </c>
      <c r="K323" s="4">
        <v>0</v>
      </c>
      <c r="L323" s="15">
        <f t="shared" ref="L323:L326" si="145">I323+J323+K323</f>
        <v>3</v>
      </c>
      <c r="M323" s="25" t="str">
        <f t="shared" ref="M323:M326" si="146">IFERROR(IF(TEXT(DATEVALUE(SUBSTITUTE(TRIM(MID($H$2,FIND("on",$H$2)+3,99)),"'","-")),"dddd")=B323,"Week Off",IF(H323="","",IF($H323=0,"Case Not Received",""))),"")</f>
        <v/>
      </c>
      <c r="N323" s="21"/>
    </row>
    <row r="324" spans="1:14">
      <c r="A324" s="4" t="s">
        <v>1072</v>
      </c>
      <c r="B324" s="4" t="s">
        <v>798</v>
      </c>
      <c r="C324" s="5">
        <f>C323+1</f>
        <v>282</v>
      </c>
      <c r="D324" s="31"/>
      <c r="E324" s="32"/>
      <c r="F324" s="5" t="s">
        <v>539</v>
      </c>
      <c r="G324" s="5" t="s">
        <v>540</v>
      </c>
      <c r="H324" s="4">
        <v>9</v>
      </c>
      <c r="I324" s="4">
        <v>0</v>
      </c>
      <c r="J324" s="4">
        <v>0</v>
      </c>
      <c r="K324" s="4">
        <v>0</v>
      </c>
      <c r="L324" s="15">
        <f t="shared" si="145"/>
        <v>0</v>
      </c>
      <c r="M324" s="25" t="str">
        <f t="shared" si="146"/>
        <v>Week Off</v>
      </c>
      <c r="N324" s="21"/>
    </row>
    <row r="325" spans="1:14">
      <c r="A325" s="4" t="s">
        <v>1073</v>
      </c>
      <c r="B325" s="4" t="s">
        <v>799</v>
      </c>
      <c r="C325" s="5">
        <f t="shared" ref="C325:C326" si="147">C324+1</f>
        <v>283</v>
      </c>
      <c r="D325" s="31"/>
      <c r="E325" s="32"/>
      <c r="F325" s="5" t="s">
        <v>539</v>
      </c>
      <c r="G325" s="5" t="s">
        <v>541</v>
      </c>
      <c r="H325" s="4">
        <v>11</v>
      </c>
      <c r="I325" s="4">
        <v>6</v>
      </c>
      <c r="J325" s="4">
        <v>0</v>
      </c>
      <c r="K325" s="4">
        <v>0</v>
      </c>
      <c r="L325" s="15">
        <f t="shared" si="145"/>
        <v>6</v>
      </c>
      <c r="M325" s="25" t="str">
        <f t="shared" si="146"/>
        <v/>
      </c>
      <c r="N325" s="21"/>
    </row>
    <row r="326" spans="1:14">
      <c r="A326" s="4" t="s">
        <v>1074</v>
      </c>
      <c r="B326" s="4" t="s">
        <v>799</v>
      </c>
      <c r="C326" s="5">
        <f t="shared" si="147"/>
        <v>284</v>
      </c>
      <c r="D326" s="31"/>
      <c r="E326" s="32"/>
      <c r="F326" s="5" t="s">
        <v>537</v>
      </c>
      <c r="G326" s="5" t="s">
        <v>538</v>
      </c>
      <c r="H326" s="4">
        <v>9</v>
      </c>
      <c r="I326" s="4">
        <v>4</v>
      </c>
      <c r="J326" s="4">
        <v>0</v>
      </c>
      <c r="K326" s="4">
        <v>0</v>
      </c>
      <c r="L326" s="15">
        <f t="shared" si="145"/>
        <v>4</v>
      </c>
      <c r="M326" s="25" t="str">
        <f t="shared" si="146"/>
        <v/>
      </c>
      <c r="N326" s="21"/>
    </row>
    <row r="327" spans="1:14" ht="15.6">
      <c r="A327" s="4"/>
      <c r="B327" s="4"/>
      <c r="C327" s="5"/>
      <c r="D327" s="31"/>
      <c r="E327" s="6"/>
      <c r="F327" s="7" t="s">
        <v>32</v>
      </c>
      <c r="G327" s="7">
        <v>4</v>
      </c>
      <c r="H327" s="7">
        <f t="shared" ref="H327:L327" si="148">SUM(H323:H326)</f>
        <v>36</v>
      </c>
      <c r="I327" s="7">
        <f t="shared" si="148"/>
        <v>13</v>
      </c>
      <c r="J327" s="7">
        <f t="shared" si="148"/>
        <v>0</v>
      </c>
      <c r="K327" s="7">
        <f t="shared" si="148"/>
        <v>0</v>
      </c>
      <c r="L327" s="7">
        <f t="shared" si="148"/>
        <v>13</v>
      </c>
      <c r="M327" s="25"/>
      <c r="N327" s="21"/>
    </row>
    <row r="328" spans="1:14">
      <c r="A328" s="4" t="s">
        <v>1075</v>
      </c>
      <c r="B328" s="4" t="s">
        <v>802</v>
      </c>
      <c r="C328" s="5">
        <f>C326+1</f>
        <v>285</v>
      </c>
      <c r="D328" s="31"/>
      <c r="E328" s="32" t="s">
        <v>555</v>
      </c>
      <c r="F328" s="5" t="s">
        <v>10</v>
      </c>
      <c r="G328" s="5" t="s">
        <v>556</v>
      </c>
      <c r="H328" s="4">
        <v>0</v>
      </c>
      <c r="I328" s="4">
        <v>0</v>
      </c>
      <c r="J328" s="4">
        <v>0</v>
      </c>
      <c r="K328" s="4">
        <v>0</v>
      </c>
      <c r="L328" s="15">
        <f t="shared" ref="L328:L334" si="149">I328+J328+K328</f>
        <v>0</v>
      </c>
      <c r="M328" s="25" t="str">
        <f t="shared" ref="M328:M334" si="150">IFERROR(IF(TEXT(DATEVALUE(SUBSTITUTE(TRIM(MID($H$2,FIND("on",$H$2)+3,99)),"'","-")),"dddd")=B328,"Week Off",IF(H328="","",IF($H328=0,"Case Not Received",""))),"")</f>
        <v>Case Not Received</v>
      </c>
      <c r="N328" s="28">
        <f>(COUNTIF(I328:I334,"0"))/7</f>
        <v>0.14285714285714285</v>
      </c>
    </row>
    <row r="329" spans="1:14">
      <c r="A329" s="4" t="s">
        <v>1076</v>
      </c>
      <c r="B329" s="4" t="s">
        <v>797</v>
      </c>
      <c r="C329" s="5">
        <f>C328+1</f>
        <v>286</v>
      </c>
      <c r="D329" s="31"/>
      <c r="E329" s="32"/>
      <c r="F329" s="5" t="s">
        <v>557</v>
      </c>
      <c r="G329" s="5" t="s">
        <v>558</v>
      </c>
      <c r="H329" s="4">
        <v>10</v>
      </c>
      <c r="I329" s="4">
        <v>7</v>
      </c>
      <c r="J329" s="4">
        <v>0</v>
      </c>
      <c r="K329" s="4">
        <v>0</v>
      </c>
      <c r="L329" s="15">
        <f t="shared" si="149"/>
        <v>7</v>
      </c>
      <c r="M329" s="25" t="str">
        <f t="shared" si="150"/>
        <v/>
      </c>
      <c r="N329" s="28"/>
    </row>
    <row r="330" spans="1:14">
      <c r="A330" s="24" t="s">
        <v>1207</v>
      </c>
      <c r="B330" s="4" t="s">
        <v>803</v>
      </c>
      <c r="C330" s="5">
        <f t="shared" ref="C330:C334" si="151">C329+1</f>
        <v>287</v>
      </c>
      <c r="D330" s="31"/>
      <c r="E330" s="32"/>
      <c r="F330" s="5" t="s">
        <v>559</v>
      </c>
      <c r="G330" s="5" t="s">
        <v>560</v>
      </c>
      <c r="H330" s="4">
        <v>5</v>
      </c>
      <c r="I330" s="4">
        <v>3</v>
      </c>
      <c r="J330" s="4">
        <v>0</v>
      </c>
      <c r="K330" s="4">
        <v>0</v>
      </c>
      <c r="L330" s="15">
        <f t="shared" si="149"/>
        <v>3</v>
      </c>
      <c r="M330" s="25" t="str">
        <f t="shared" si="150"/>
        <v/>
      </c>
      <c r="N330" s="28"/>
    </row>
    <row r="331" spans="1:14">
      <c r="A331" s="4" t="s">
        <v>1078</v>
      </c>
      <c r="B331" s="4" t="s">
        <v>800</v>
      </c>
      <c r="C331" s="5">
        <f t="shared" si="151"/>
        <v>288</v>
      </c>
      <c r="D331" s="31"/>
      <c r="E331" s="32"/>
      <c r="F331" s="5" t="s">
        <v>561</v>
      </c>
      <c r="G331" s="5" t="s">
        <v>562</v>
      </c>
      <c r="H331" s="4">
        <v>13</v>
      </c>
      <c r="I331" s="4">
        <v>8</v>
      </c>
      <c r="J331" s="4">
        <v>0</v>
      </c>
      <c r="K331" s="4">
        <v>0</v>
      </c>
      <c r="L331" s="15">
        <f t="shared" si="149"/>
        <v>8</v>
      </c>
      <c r="M331" s="25" t="str">
        <f t="shared" si="150"/>
        <v/>
      </c>
      <c r="N331" s="28"/>
    </row>
    <row r="332" spans="1:14">
      <c r="A332" s="24" t="s">
        <v>1077</v>
      </c>
      <c r="B332" s="4" t="s">
        <v>798</v>
      </c>
      <c r="C332" s="5">
        <f t="shared" si="151"/>
        <v>289</v>
      </c>
      <c r="D332" s="31"/>
      <c r="E332" s="32"/>
      <c r="F332" s="5" t="s">
        <v>563</v>
      </c>
      <c r="G332" s="5" t="s">
        <v>564</v>
      </c>
      <c r="H332" s="4">
        <v>3</v>
      </c>
      <c r="I332" s="4">
        <v>3</v>
      </c>
      <c r="J332" s="4">
        <v>0</v>
      </c>
      <c r="K332" s="4">
        <v>0</v>
      </c>
      <c r="L332" s="15">
        <f t="shared" si="149"/>
        <v>3</v>
      </c>
      <c r="M332" s="25" t="str">
        <f t="shared" si="150"/>
        <v>Week Off</v>
      </c>
      <c r="N332" s="28"/>
    </row>
    <row r="333" spans="1:14">
      <c r="A333" s="4" t="s">
        <v>1079</v>
      </c>
      <c r="B333" s="4" t="s">
        <v>799</v>
      </c>
      <c r="C333" s="5">
        <f t="shared" si="151"/>
        <v>290</v>
      </c>
      <c r="D333" s="31"/>
      <c r="E333" s="32"/>
      <c r="F333" s="5" t="s">
        <v>565</v>
      </c>
      <c r="G333" s="5" t="s">
        <v>566</v>
      </c>
      <c r="H333" s="4">
        <v>5</v>
      </c>
      <c r="I333" s="4">
        <v>1</v>
      </c>
      <c r="J333" s="4">
        <v>0</v>
      </c>
      <c r="K333" s="4">
        <v>0</v>
      </c>
      <c r="L333" s="15">
        <f t="shared" si="149"/>
        <v>1</v>
      </c>
      <c r="M333" s="25" t="str">
        <f t="shared" si="150"/>
        <v/>
      </c>
      <c r="N333" s="28"/>
    </row>
    <row r="334" spans="1:14">
      <c r="A334" s="4" t="s">
        <v>1080</v>
      </c>
      <c r="B334" s="4" t="s">
        <v>801</v>
      </c>
      <c r="C334" s="5">
        <f t="shared" si="151"/>
        <v>291</v>
      </c>
      <c r="D334" s="31"/>
      <c r="E334" s="32"/>
      <c r="F334" s="5" t="s">
        <v>58</v>
      </c>
      <c r="G334" s="5" t="s">
        <v>567</v>
      </c>
      <c r="H334" s="4">
        <v>11</v>
      </c>
      <c r="I334" s="4">
        <v>5</v>
      </c>
      <c r="J334" s="4">
        <v>0</v>
      </c>
      <c r="K334" s="4">
        <v>0</v>
      </c>
      <c r="L334" s="15">
        <f t="shared" si="149"/>
        <v>5</v>
      </c>
      <c r="M334" s="25" t="str">
        <f t="shared" si="150"/>
        <v/>
      </c>
      <c r="N334" s="28"/>
    </row>
    <row r="335" spans="1:14" ht="15.6">
      <c r="A335" s="4"/>
      <c r="B335" s="4"/>
      <c r="C335" s="5"/>
      <c r="D335" s="31"/>
      <c r="E335" s="6"/>
      <c r="F335" s="7" t="s">
        <v>32</v>
      </c>
      <c r="G335" s="7">
        <v>7</v>
      </c>
      <c r="H335" s="7">
        <f t="shared" ref="H335:L335" si="152">SUM(H328:H334)</f>
        <v>47</v>
      </c>
      <c r="I335" s="7">
        <f t="shared" si="152"/>
        <v>27</v>
      </c>
      <c r="J335" s="7">
        <f t="shared" si="152"/>
        <v>0</v>
      </c>
      <c r="K335" s="7">
        <f t="shared" si="152"/>
        <v>0</v>
      </c>
      <c r="L335" s="7">
        <f t="shared" si="152"/>
        <v>27</v>
      </c>
      <c r="M335" s="25"/>
      <c r="N335" s="28"/>
    </row>
    <row r="336" spans="1:14">
      <c r="A336" s="4" t="s">
        <v>1081</v>
      </c>
      <c r="B336" s="4" t="s">
        <v>802</v>
      </c>
      <c r="C336" s="5">
        <f>C334+1</f>
        <v>292</v>
      </c>
      <c r="D336" s="31"/>
      <c r="E336" s="32" t="s">
        <v>568</v>
      </c>
      <c r="F336" s="5" t="s">
        <v>10</v>
      </c>
      <c r="G336" s="5" t="s">
        <v>569</v>
      </c>
      <c r="H336" s="4">
        <v>5</v>
      </c>
      <c r="I336" s="4">
        <v>4</v>
      </c>
      <c r="J336" s="4">
        <v>0</v>
      </c>
      <c r="K336" s="4">
        <v>0</v>
      </c>
      <c r="L336" s="15">
        <f t="shared" ref="L336:L342" si="153">I336+J336+K336</f>
        <v>4</v>
      </c>
      <c r="M336" s="25" t="str">
        <f t="shared" ref="M336:M342" si="154">IFERROR(IF(TEXT(DATEVALUE(SUBSTITUTE(TRIM(MID($H$2,FIND("on",$H$2)+3,99)),"'","-")),"dddd")=B336,"Week Off",IF(H336="","",IF($H336=0,"Case Not Received",""))),"")</f>
        <v/>
      </c>
      <c r="N336" s="28">
        <f>(COUNTIF(I336:I342,"0"))/7</f>
        <v>0.14285714285714285</v>
      </c>
    </row>
    <row r="337" spans="1:14">
      <c r="A337" s="4" t="s">
        <v>1082</v>
      </c>
      <c r="B337" s="4" t="s">
        <v>798</v>
      </c>
      <c r="C337" s="5">
        <f>C336+1</f>
        <v>293</v>
      </c>
      <c r="D337" s="31"/>
      <c r="E337" s="32"/>
      <c r="F337" s="5" t="s">
        <v>570</v>
      </c>
      <c r="G337" s="5" t="s">
        <v>571</v>
      </c>
      <c r="H337" s="4">
        <v>3</v>
      </c>
      <c r="I337" s="4">
        <v>0</v>
      </c>
      <c r="J337" s="4">
        <v>0</v>
      </c>
      <c r="K337" s="4">
        <v>0</v>
      </c>
      <c r="L337" s="15">
        <f t="shared" si="153"/>
        <v>0</v>
      </c>
      <c r="M337" s="25" t="str">
        <f t="shared" si="154"/>
        <v>Week Off</v>
      </c>
      <c r="N337" s="28"/>
    </row>
    <row r="338" spans="1:14">
      <c r="A338" s="4" t="s">
        <v>1083</v>
      </c>
      <c r="B338" s="4" t="s">
        <v>797</v>
      </c>
      <c r="C338" s="5">
        <f t="shared" ref="C338:C342" si="155">C337+1</f>
        <v>294</v>
      </c>
      <c r="D338" s="31"/>
      <c r="E338" s="32"/>
      <c r="F338" s="5" t="s">
        <v>427</v>
      </c>
      <c r="G338" s="5" t="s">
        <v>572</v>
      </c>
      <c r="H338" s="4">
        <v>18</v>
      </c>
      <c r="I338" s="4">
        <v>9</v>
      </c>
      <c r="J338" s="4">
        <v>0</v>
      </c>
      <c r="K338" s="4">
        <v>0</v>
      </c>
      <c r="L338" s="15">
        <f t="shared" si="153"/>
        <v>9</v>
      </c>
      <c r="M338" s="25" t="str">
        <f t="shared" si="154"/>
        <v/>
      </c>
      <c r="N338" s="28"/>
    </row>
    <row r="339" spans="1:14">
      <c r="A339" s="4" t="s">
        <v>1084</v>
      </c>
      <c r="B339" s="4" t="s">
        <v>803</v>
      </c>
      <c r="C339" s="5">
        <f t="shared" si="155"/>
        <v>295</v>
      </c>
      <c r="D339" s="31"/>
      <c r="E339" s="32"/>
      <c r="F339" s="5" t="s">
        <v>573</v>
      </c>
      <c r="G339" s="5" t="s">
        <v>574</v>
      </c>
      <c r="H339" s="4">
        <v>9</v>
      </c>
      <c r="I339" s="4">
        <v>6</v>
      </c>
      <c r="J339" s="4">
        <v>0</v>
      </c>
      <c r="K339" s="4">
        <v>0</v>
      </c>
      <c r="L339" s="15">
        <f t="shared" si="153"/>
        <v>6</v>
      </c>
      <c r="M339" s="25" t="str">
        <f t="shared" si="154"/>
        <v/>
      </c>
      <c r="N339" s="28"/>
    </row>
    <row r="340" spans="1:14">
      <c r="A340" s="4" t="s">
        <v>1085</v>
      </c>
      <c r="B340" s="4" t="s">
        <v>801</v>
      </c>
      <c r="C340" s="5">
        <f t="shared" si="155"/>
        <v>296</v>
      </c>
      <c r="D340" s="31"/>
      <c r="E340" s="32"/>
      <c r="F340" s="5" t="s">
        <v>575</v>
      </c>
      <c r="G340" s="5" t="s">
        <v>576</v>
      </c>
      <c r="H340" s="4">
        <v>13</v>
      </c>
      <c r="I340" s="4">
        <v>4</v>
      </c>
      <c r="J340" s="4">
        <v>0</v>
      </c>
      <c r="K340" s="4">
        <v>0</v>
      </c>
      <c r="L340" s="15">
        <f t="shared" si="153"/>
        <v>4</v>
      </c>
      <c r="M340" s="25" t="str">
        <f t="shared" si="154"/>
        <v/>
      </c>
      <c r="N340" s="28"/>
    </row>
    <row r="341" spans="1:14">
      <c r="A341" s="4" t="s">
        <v>1086</v>
      </c>
      <c r="B341" s="4" t="s">
        <v>800</v>
      </c>
      <c r="C341" s="5">
        <f t="shared" si="155"/>
        <v>297</v>
      </c>
      <c r="D341" s="31"/>
      <c r="E341" s="32"/>
      <c r="F341" s="5" t="s">
        <v>575</v>
      </c>
      <c r="G341" s="5" t="s">
        <v>577</v>
      </c>
      <c r="H341" s="4">
        <v>12</v>
      </c>
      <c r="I341" s="4">
        <v>7</v>
      </c>
      <c r="J341" s="4">
        <v>0</v>
      </c>
      <c r="K341" s="4">
        <v>0</v>
      </c>
      <c r="L341" s="15">
        <f t="shared" si="153"/>
        <v>7</v>
      </c>
      <c r="M341" s="25" t="str">
        <f t="shared" si="154"/>
        <v/>
      </c>
      <c r="N341" s="28"/>
    </row>
    <row r="342" spans="1:14">
      <c r="A342" s="4" t="s">
        <v>1087</v>
      </c>
      <c r="B342" s="4" t="s">
        <v>799</v>
      </c>
      <c r="C342" s="5">
        <f t="shared" si="155"/>
        <v>298</v>
      </c>
      <c r="D342" s="31"/>
      <c r="E342" s="32"/>
      <c r="F342" s="5" t="s">
        <v>578</v>
      </c>
      <c r="G342" s="5" t="s">
        <v>579</v>
      </c>
      <c r="H342" s="4">
        <v>22</v>
      </c>
      <c r="I342" s="4">
        <v>7</v>
      </c>
      <c r="J342" s="4">
        <v>0</v>
      </c>
      <c r="K342" s="4">
        <v>0</v>
      </c>
      <c r="L342" s="15">
        <f t="shared" si="153"/>
        <v>7</v>
      </c>
      <c r="M342" s="25" t="str">
        <f t="shared" si="154"/>
        <v/>
      </c>
      <c r="N342" s="28"/>
    </row>
    <row r="343" spans="1:14" ht="15.6">
      <c r="A343" s="4"/>
      <c r="B343" s="4"/>
      <c r="C343" s="5"/>
      <c r="D343" s="31"/>
      <c r="E343" s="6"/>
      <c r="F343" s="7" t="s">
        <v>32</v>
      </c>
      <c r="G343" s="7">
        <v>7</v>
      </c>
      <c r="H343" s="7">
        <f t="shared" ref="H343:L343" si="156">SUM(H336:H342)</f>
        <v>82</v>
      </c>
      <c r="I343" s="7">
        <f t="shared" si="156"/>
        <v>37</v>
      </c>
      <c r="J343" s="7">
        <f t="shared" si="156"/>
        <v>0</v>
      </c>
      <c r="K343" s="7">
        <f t="shared" si="156"/>
        <v>0</v>
      </c>
      <c r="L343" s="7">
        <f t="shared" si="156"/>
        <v>37</v>
      </c>
      <c r="M343" s="25"/>
      <c r="N343" s="28"/>
    </row>
    <row r="344" spans="1:14">
      <c r="A344" s="4" t="s">
        <v>1088</v>
      </c>
      <c r="B344" s="4" t="s">
        <v>797</v>
      </c>
      <c r="C344" s="5">
        <f>C342+1</f>
        <v>299</v>
      </c>
      <c r="D344" s="31"/>
      <c r="E344" s="33" t="s">
        <v>580</v>
      </c>
      <c r="F344" s="4" t="s">
        <v>10</v>
      </c>
      <c r="G344" s="4" t="s">
        <v>581</v>
      </c>
      <c r="H344" s="4">
        <v>8</v>
      </c>
      <c r="I344" s="4">
        <v>4</v>
      </c>
      <c r="J344" s="4">
        <v>0</v>
      </c>
      <c r="K344" s="4">
        <v>0</v>
      </c>
      <c r="L344" s="15">
        <f t="shared" ref="L344:L350" si="157">I344+J344+K344</f>
        <v>4</v>
      </c>
      <c r="M344" s="25" t="str">
        <f t="shared" ref="M344:M350" si="158">IFERROR(IF(TEXT(DATEVALUE(SUBSTITUTE(TRIM(MID($H$2,FIND("on",$H$2)+3,99)),"'","-")),"dddd")=B344,"Week Off",IF(H344="","",IF($H344=0,"Case Not Received",""))),"")</f>
        <v/>
      </c>
      <c r="N344" s="27">
        <f>(COUNTIF(I344:I350,"0"))/7</f>
        <v>0.14285714285714285</v>
      </c>
    </row>
    <row r="345" spans="1:14">
      <c r="A345" s="4" t="s">
        <v>1089</v>
      </c>
      <c r="B345" s="4" t="s">
        <v>799</v>
      </c>
      <c r="C345" s="5">
        <f>C344+1</f>
        <v>300</v>
      </c>
      <c r="D345" s="31"/>
      <c r="E345" s="33"/>
      <c r="F345" s="4" t="s">
        <v>582</v>
      </c>
      <c r="G345" s="4" t="s">
        <v>583</v>
      </c>
      <c r="H345" s="4">
        <v>8</v>
      </c>
      <c r="I345" s="4">
        <v>4</v>
      </c>
      <c r="J345" s="4">
        <v>0</v>
      </c>
      <c r="K345" s="4">
        <v>0</v>
      </c>
      <c r="L345" s="15">
        <f t="shared" si="157"/>
        <v>4</v>
      </c>
      <c r="M345" s="25" t="str">
        <f t="shared" si="158"/>
        <v/>
      </c>
      <c r="N345" s="27"/>
    </row>
    <row r="346" spans="1:14">
      <c r="A346" s="4" t="s">
        <v>1090</v>
      </c>
      <c r="B346" s="4" t="s">
        <v>801</v>
      </c>
      <c r="C346" s="5">
        <f t="shared" ref="C346:C350" si="159">C345+1</f>
        <v>301</v>
      </c>
      <c r="D346" s="31"/>
      <c r="E346" s="33"/>
      <c r="F346" s="4" t="s">
        <v>584</v>
      </c>
      <c r="G346" s="4" t="s">
        <v>585</v>
      </c>
      <c r="H346" s="4">
        <v>8</v>
      </c>
      <c r="I346" s="4">
        <v>4</v>
      </c>
      <c r="J346" s="4">
        <v>0</v>
      </c>
      <c r="K346" s="4">
        <v>0</v>
      </c>
      <c r="L346" s="15">
        <f t="shared" si="157"/>
        <v>4</v>
      </c>
      <c r="M346" s="25" t="str">
        <f t="shared" si="158"/>
        <v/>
      </c>
      <c r="N346" s="27"/>
    </row>
    <row r="347" spans="1:14">
      <c r="A347" s="4" t="s">
        <v>1091</v>
      </c>
      <c r="B347" s="4" t="s">
        <v>803</v>
      </c>
      <c r="C347" s="5">
        <f t="shared" si="159"/>
        <v>302</v>
      </c>
      <c r="D347" s="31"/>
      <c r="E347" s="33"/>
      <c r="F347" s="4" t="s">
        <v>586</v>
      </c>
      <c r="G347" s="4" t="s">
        <v>587</v>
      </c>
      <c r="H347" s="4">
        <v>6</v>
      </c>
      <c r="I347" s="4">
        <v>3</v>
      </c>
      <c r="J347" s="4">
        <v>0</v>
      </c>
      <c r="K347" s="4">
        <v>0</v>
      </c>
      <c r="L347" s="15">
        <f t="shared" si="157"/>
        <v>3</v>
      </c>
      <c r="M347" s="25" t="str">
        <f t="shared" si="158"/>
        <v/>
      </c>
      <c r="N347" s="27"/>
    </row>
    <row r="348" spans="1:14">
      <c r="A348" s="4" t="s">
        <v>1092</v>
      </c>
      <c r="B348" s="4" t="s">
        <v>800</v>
      </c>
      <c r="C348" s="5">
        <f t="shared" si="159"/>
        <v>303</v>
      </c>
      <c r="D348" s="31"/>
      <c r="E348" s="33"/>
      <c r="F348" s="4" t="s">
        <v>588</v>
      </c>
      <c r="G348" s="4" t="s">
        <v>589</v>
      </c>
      <c r="H348" s="4">
        <v>10</v>
      </c>
      <c r="I348" s="4">
        <v>5</v>
      </c>
      <c r="J348" s="4">
        <v>0</v>
      </c>
      <c r="K348" s="4">
        <v>0</v>
      </c>
      <c r="L348" s="15">
        <f t="shared" si="157"/>
        <v>5</v>
      </c>
      <c r="M348" s="25" t="str">
        <f t="shared" si="158"/>
        <v/>
      </c>
      <c r="N348" s="27"/>
    </row>
    <row r="349" spans="1:14">
      <c r="A349" s="24" t="s">
        <v>1206</v>
      </c>
      <c r="B349" s="4" t="s">
        <v>798</v>
      </c>
      <c r="C349" s="5">
        <f t="shared" si="159"/>
        <v>304</v>
      </c>
      <c r="D349" s="31"/>
      <c r="E349" s="33"/>
      <c r="F349" s="4" t="s">
        <v>590</v>
      </c>
      <c r="G349" s="4" t="s">
        <v>591</v>
      </c>
      <c r="H349" s="4">
        <v>8</v>
      </c>
      <c r="I349" s="4">
        <v>0</v>
      </c>
      <c r="J349" s="4">
        <v>0</v>
      </c>
      <c r="K349" s="4">
        <v>0</v>
      </c>
      <c r="L349" s="15">
        <f t="shared" si="157"/>
        <v>0</v>
      </c>
      <c r="M349" s="25" t="str">
        <f t="shared" si="158"/>
        <v>Week Off</v>
      </c>
      <c r="N349" s="27"/>
    </row>
    <row r="350" spans="1:14">
      <c r="A350" s="4" t="s">
        <v>1093</v>
      </c>
      <c r="B350" s="4" t="s">
        <v>802</v>
      </c>
      <c r="C350" s="5">
        <f t="shared" si="159"/>
        <v>305</v>
      </c>
      <c r="D350" s="31"/>
      <c r="E350" s="33"/>
      <c r="F350" s="4" t="s">
        <v>592</v>
      </c>
      <c r="G350" s="4" t="s">
        <v>593</v>
      </c>
      <c r="H350" s="4">
        <v>8</v>
      </c>
      <c r="I350" s="4">
        <v>4</v>
      </c>
      <c r="J350" s="4">
        <v>0</v>
      </c>
      <c r="K350" s="4">
        <v>0</v>
      </c>
      <c r="L350" s="15">
        <f t="shared" si="157"/>
        <v>4</v>
      </c>
      <c r="M350" s="25" t="str">
        <f t="shared" si="158"/>
        <v/>
      </c>
      <c r="N350" s="27"/>
    </row>
    <row r="351" spans="1:14" ht="15.6">
      <c r="A351" s="4"/>
      <c r="B351" s="4"/>
      <c r="C351" s="5"/>
      <c r="D351" s="31"/>
      <c r="E351" s="6"/>
      <c r="F351" s="7" t="s">
        <v>32</v>
      </c>
      <c r="G351" s="7">
        <v>7</v>
      </c>
      <c r="H351" s="7">
        <f t="shared" ref="H351:L351" si="160">SUM(H344:H350)</f>
        <v>56</v>
      </c>
      <c r="I351" s="7">
        <f t="shared" si="160"/>
        <v>24</v>
      </c>
      <c r="J351" s="7">
        <f t="shared" si="160"/>
        <v>0</v>
      </c>
      <c r="K351" s="7">
        <f t="shared" si="160"/>
        <v>0</v>
      </c>
      <c r="L351" s="7">
        <f t="shared" si="160"/>
        <v>24</v>
      </c>
      <c r="M351" s="25"/>
      <c r="N351" s="27"/>
    </row>
    <row r="352" spans="1:14">
      <c r="A352" s="4" t="s">
        <v>1094</v>
      </c>
      <c r="B352" s="4" t="s">
        <v>802</v>
      </c>
      <c r="C352" s="5">
        <f>C350+1</f>
        <v>306</v>
      </c>
      <c r="D352" s="31"/>
      <c r="E352" s="32" t="s">
        <v>594</v>
      </c>
      <c r="F352" s="5" t="s">
        <v>10</v>
      </c>
      <c r="G352" s="5" t="s">
        <v>595</v>
      </c>
      <c r="H352" s="4">
        <v>4</v>
      </c>
      <c r="I352" s="4">
        <v>1</v>
      </c>
      <c r="J352" s="4">
        <v>0</v>
      </c>
      <c r="K352" s="4">
        <v>0</v>
      </c>
      <c r="L352" s="15">
        <f t="shared" ref="L352:L357" si="161">I352+J352+K352</f>
        <v>1</v>
      </c>
      <c r="M352" s="25" t="str">
        <f t="shared" ref="M352:M357" si="162">IFERROR(IF(TEXT(DATEVALUE(SUBSTITUTE(TRIM(MID($H$2,FIND("on",$H$2)+3,99)),"'","-")),"dddd")=B352,"Week Off",IF(H352="","",IF($H352=0,"Case Not Received",""))),"")</f>
        <v/>
      </c>
      <c r="N352" s="28">
        <f>(COUNTIF(I352:I357,"0"))/6</f>
        <v>0.16666666666666666</v>
      </c>
    </row>
    <row r="353" spans="1:14">
      <c r="A353" s="4" t="s">
        <v>1095</v>
      </c>
      <c r="B353" s="4" t="s">
        <v>798</v>
      </c>
      <c r="C353" s="5">
        <f>C352+1</f>
        <v>307</v>
      </c>
      <c r="D353" s="31"/>
      <c r="E353" s="32"/>
      <c r="F353" s="5" t="s">
        <v>596</v>
      </c>
      <c r="G353" s="5" t="s">
        <v>597</v>
      </c>
      <c r="H353" s="4">
        <v>12</v>
      </c>
      <c r="I353" s="4">
        <v>0</v>
      </c>
      <c r="J353" s="4">
        <v>0</v>
      </c>
      <c r="K353" s="4">
        <v>0</v>
      </c>
      <c r="L353" s="15">
        <f t="shared" si="161"/>
        <v>0</v>
      </c>
      <c r="M353" s="25" t="str">
        <f t="shared" si="162"/>
        <v>Week Off</v>
      </c>
      <c r="N353" s="28"/>
    </row>
    <row r="354" spans="1:14">
      <c r="A354" s="4" t="s">
        <v>1096</v>
      </c>
      <c r="B354" s="4" t="s">
        <v>800</v>
      </c>
      <c r="C354" s="5">
        <f t="shared" ref="C354:C357" si="163">C353+1</f>
        <v>308</v>
      </c>
      <c r="D354" s="31"/>
      <c r="E354" s="32"/>
      <c r="F354" s="5" t="s">
        <v>596</v>
      </c>
      <c r="G354" s="5" t="s">
        <v>598</v>
      </c>
      <c r="H354" s="4">
        <v>9</v>
      </c>
      <c r="I354" s="4">
        <v>9</v>
      </c>
      <c r="J354" s="4">
        <v>0</v>
      </c>
      <c r="K354" s="4">
        <v>0</v>
      </c>
      <c r="L354" s="15">
        <f t="shared" si="161"/>
        <v>9</v>
      </c>
      <c r="M354" s="25" t="str">
        <f t="shared" si="162"/>
        <v/>
      </c>
      <c r="N354" s="28"/>
    </row>
    <row r="355" spans="1:14">
      <c r="A355" s="4" t="s">
        <v>1097</v>
      </c>
      <c r="B355" s="4" t="s">
        <v>802</v>
      </c>
      <c r="C355" s="5">
        <f t="shared" si="163"/>
        <v>309</v>
      </c>
      <c r="D355" s="31"/>
      <c r="E355" s="32"/>
      <c r="F355" s="5" t="s">
        <v>599</v>
      </c>
      <c r="G355" s="5" t="s">
        <v>600</v>
      </c>
      <c r="H355" s="4">
        <v>5</v>
      </c>
      <c r="I355" s="4">
        <v>5</v>
      </c>
      <c r="J355" s="4">
        <v>0</v>
      </c>
      <c r="K355" s="4">
        <v>0</v>
      </c>
      <c r="L355" s="15">
        <f t="shared" si="161"/>
        <v>5</v>
      </c>
      <c r="M355" s="25" t="str">
        <f t="shared" si="162"/>
        <v/>
      </c>
      <c r="N355" s="28"/>
    </row>
    <row r="356" spans="1:14">
      <c r="A356" s="4" t="s">
        <v>1098</v>
      </c>
      <c r="B356" s="4" t="s">
        <v>802</v>
      </c>
      <c r="C356" s="5">
        <f t="shared" si="163"/>
        <v>310</v>
      </c>
      <c r="D356" s="31"/>
      <c r="E356" s="32"/>
      <c r="F356" s="5" t="s">
        <v>601</v>
      </c>
      <c r="G356" s="5" t="s">
        <v>602</v>
      </c>
      <c r="H356" s="4">
        <v>7</v>
      </c>
      <c r="I356" s="4">
        <v>6</v>
      </c>
      <c r="J356" s="4">
        <v>0</v>
      </c>
      <c r="K356" s="4">
        <v>0</v>
      </c>
      <c r="L356" s="15">
        <f t="shared" si="161"/>
        <v>6</v>
      </c>
      <c r="M356" s="25" t="str">
        <f t="shared" si="162"/>
        <v/>
      </c>
      <c r="N356" s="28"/>
    </row>
    <row r="357" spans="1:14">
      <c r="A357" s="4" t="s">
        <v>1099</v>
      </c>
      <c r="B357" s="4" t="s">
        <v>803</v>
      </c>
      <c r="C357" s="5">
        <f t="shared" si="163"/>
        <v>311</v>
      </c>
      <c r="D357" s="31"/>
      <c r="E357" s="32"/>
      <c r="F357" s="5" t="s">
        <v>601</v>
      </c>
      <c r="G357" s="5" t="s">
        <v>603</v>
      </c>
      <c r="H357" s="4">
        <v>2</v>
      </c>
      <c r="I357" s="4">
        <v>2</v>
      </c>
      <c r="J357" s="4">
        <v>0</v>
      </c>
      <c r="K357" s="4">
        <v>0</v>
      </c>
      <c r="L357" s="15">
        <f t="shared" si="161"/>
        <v>2</v>
      </c>
      <c r="M357" s="25" t="str">
        <f t="shared" si="162"/>
        <v/>
      </c>
      <c r="N357" s="28"/>
    </row>
    <row r="358" spans="1:14" ht="28.8">
      <c r="A358" s="4"/>
      <c r="B358" s="4"/>
      <c r="C358" s="5"/>
      <c r="D358" s="19"/>
      <c r="E358" s="6"/>
      <c r="F358" s="7" t="s">
        <v>32</v>
      </c>
      <c r="G358" s="7">
        <v>6</v>
      </c>
      <c r="H358" s="7">
        <f t="shared" ref="H358:L358" si="164">SUM(H352:H357)</f>
        <v>39</v>
      </c>
      <c r="I358" s="7">
        <f t="shared" si="164"/>
        <v>23</v>
      </c>
      <c r="J358" s="7">
        <f t="shared" si="164"/>
        <v>0</v>
      </c>
      <c r="K358" s="7">
        <f t="shared" si="164"/>
        <v>0</v>
      </c>
      <c r="L358" s="7">
        <f t="shared" si="164"/>
        <v>23</v>
      </c>
      <c r="M358" s="25"/>
      <c r="N358" s="28"/>
    </row>
    <row r="359" spans="1:14" ht="28.8">
      <c r="A359" s="4"/>
      <c r="B359" s="4"/>
      <c r="C359" s="5"/>
      <c r="D359" s="19"/>
      <c r="E359" s="8"/>
      <c r="F359" s="9" t="s">
        <v>121</v>
      </c>
      <c r="G359" s="9">
        <v>55</v>
      </c>
      <c r="H359" s="9">
        <f t="shared" ref="H359:L359" si="165">SUM(H358,H351,H343,H335,H322,H314,H301,H327,H309)</f>
        <v>443</v>
      </c>
      <c r="I359" s="9">
        <f t="shared" si="165"/>
        <v>184</v>
      </c>
      <c r="J359" s="9">
        <f t="shared" si="165"/>
        <v>0</v>
      </c>
      <c r="K359" s="9">
        <f t="shared" si="165"/>
        <v>0</v>
      </c>
      <c r="L359" s="9">
        <f t="shared" si="165"/>
        <v>184</v>
      </c>
      <c r="M359" s="25"/>
      <c r="N359" s="4"/>
    </row>
    <row r="360" spans="1:14">
      <c r="A360" s="4" t="s">
        <v>1100</v>
      </c>
      <c r="B360" s="4" t="s">
        <v>803</v>
      </c>
      <c r="C360" s="5">
        <f>C357+1</f>
        <v>312</v>
      </c>
      <c r="D360" s="31" t="s">
        <v>604</v>
      </c>
      <c r="E360" s="32" t="s">
        <v>605</v>
      </c>
      <c r="F360" s="4" t="s">
        <v>10</v>
      </c>
      <c r="G360" s="4" t="s">
        <v>606</v>
      </c>
      <c r="H360" s="4">
        <v>17</v>
      </c>
      <c r="I360" s="4">
        <v>9</v>
      </c>
      <c r="J360" s="4">
        <v>0</v>
      </c>
      <c r="K360" s="4">
        <v>0</v>
      </c>
      <c r="L360" s="15">
        <f t="shared" ref="L360:L369" si="166">I360+J360+K360</f>
        <v>9</v>
      </c>
      <c r="M360" s="25" t="str">
        <f t="shared" ref="M360:M369" si="167">IFERROR(IF(TEXT(DATEVALUE(SUBSTITUTE(TRIM(MID($H$2,FIND("on",$H$2)+3,99)),"'","-")),"dddd")=B360,"Week Off",IF(H360="","",IF($H360=0,"Case Not Received",""))),"")</f>
        <v/>
      </c>
      <c r="N360" s="27">
        <f>(COUNTIF(I360:I369,"0"))/10</f>
        <v>0.1</v>
      </c>
    </row>
    <row r="361" spans="1:14">
      <c r="A361" s="4" t="s">
        <v>1101</v>
      </c>
      <c r="B361" s="4" t="s">
        <v>800</v>
      </c>
      <c r="C361" s="5">
        <f>C360+1</f>
        <v>313</v>
      </c>
      <c r="D361" s="31"/>
      <c r="E361" s="32"/>
      <c r="F361" s="4" t="s">
        <v>607</v>
      </c>
      <c r="G361" s="4" t="s">
        <v>608</v>
      </c>
      <c r="H361" s="4">
        <v>13</v>
      </c>
      <c r="I361" s="4">
        <v>4</v>
      </c>
      <c r="J361" s="4">
        <v>0</v>
      </c>
      <c r="K361" s="4">
        <v>0</v>
      </c>
      <c r="L361" s="15">
        <f t="shared" si="166"/>
        <v>4</v>
      </c>
      <c r="M361" s="25" t="str">
        <f t="shared" si="167"/>
        <v/>
      </c>
      <c r="N361" s="27"/>
    </row>
    <row r="362" spans="1:14">
      <c r="A362" s="4" t="s">
        <v>1102</v>
      </c>
      <c r="B362" s="4" t="s">
        <v>801</v>
      </c>
      <c r="C362" s="5">
        <f t="shared" ref="C362:C369" si="168">C361+1</f>
        <v>314</v>
      </c>
      <c r="D362" s="31"/>
      <c r="E362" s="32"/>
      <c r="F362" s="4" t="s">
        <v>609</v>
      </c>
      <c r="G362" s="4" t="s">
        <v>610</v>
      </c>
      <c r="H362" s="4">
        <v>12</v>
      </c>
      <c r="I362" s="4">
        <v>5</v>
      </c>
      <c r="J362" s="4">
        <v>0</v>
      </c>
      <c r="K362" s="4">
        <v>0</v>
      </c>
      <c r="L362" s="15">
        <f t="shared" si="166"/>
        <v>5</v>
      </c>
      <c r="M362" s="25" t="str">
        <f t="shared" si="167"/>
        <v/>
      </c>
      <c r="N362" s="27"/>
    </row>
    <row r="363" spans="1:14">
      <c r="A363" s="4" t="s">
        <v>1103</v>
      </c>
      <c r="B363" s="4" t="s">
        <v>797</v>
      </c>
      <c r="C363" s="5">
        <f t="shared" si="168"/>
        <v>315</v>
      </c>
      <c r="D363" s="31"/>
      <c r="E363" s="32"/>
      <c r="F363" s="4" t="s">
        <v>611</v>
      </c>
      <c r="G363" s="4" t="s">
        <v>612</v>
      </c>
      <c r="H363" s="4">
        <v>6</v>
      </c>
      <c r="I363" s="4">
        <v>3</v>
      </c>
      <c r="J363" s="4">
        <v>0</v>
      </c>
      <c r="K363" s="4">
        <v>0</v>
      </c>
      <c r="L363" s="15">
        <f t="shared" si="166"/>
        <v>3</v>
      </c>
      <c r="M363" s="25" t="str">
        <f t="shared" si="167"/>
        <v/>
      </c>
      <c r="N363" s="27"/>
    </row>
    <row r="364" spans="1:14">
      <c r="A364" s="4" t="s">
        <v>1104</v>
      </c>
      <c r="B364" s="4" t="s">
        <v>802</v>
      </c>
      <c r="C364" s="5">
        <f t="shared" si="168"/>
        <v>316</v>
      </c>
      <c r="D364" s="31"/>
      <c r="E364" s="32"/>
      <c r="F364" s="4" t="s">
        <v>613</v>
      </c>
      <c r="G364" s="4" t="s">
        <v>614</v>
      </c>
      <c r="H364" s="4">
        <v>24</v>
      </c>
      <c r="I364" s="4">
        <v>17</v>
      </c>
      <c r="J364" s="4">
        <v>0</v>
      </c>
      <c r="K364" s="4">
        <v>0</v>
      </c>
      <c r="L364" s="15">
        <f t="shared" si="166"/>
        <v>17</v>
      </c>
      <c r="M364" s="25" t="str">
        <f t="shared" si="167"/>
        <v/>
      </c>
      <c r="N364" s="27"/>
    </row>
    <row r="365" spans="1:14">
      <c r="A365" s="4" t="s">
        <v>1105</v>
      </c>
      <c r="B365" s="4" t="s">
        <v>799</v>
      </c>
      <c r="C365" s="5">
        <f t="shared" si="168"/>
        <v>317</v>
      </c>
      <c r="D365" s="31"/>
      <c r="E365" s="32"/>
      <c r="F365" s="4" t="s">
        <v>615</v>
      </c>
      <c r="G365" s="4" t="s">
        <v>616</v>
      </c>
      <c r="H365" s="4">
        <v>19</v>
      </c>
      <c r="I365" s="4">
        <v>6</v>
      </c>
      <c r="J365" s="4">
        <v>0</v>
      </c>
      <c r="K365" s="4">
        <v>0</v>
      </c>
      <c r="L365" s="15">
        <f t="shared" si="166"/>
        <v>6</v>
      </c>
      <c r="M365" s="25" t="str">
        <f t="shared" si="167"/>
        <v/>
      </c>
      <c r="N365" s="27"/>
    </row>
    <row r="366" spans="1:14">
      <c r="A366" s="4" t="s">
        <v>1106</v>
      </c>
      <c r="B366" s="4" t="s">
        <v>798</v>
      </c>
      <c r="C366" s="5">
        <f t="shared" si="168"/>
        <v>318</v>
      </c>
      <c r="D366" s="31"/>
      <c r="E366" s="32"/>
      <c r="F366" s="4" t="s">
        <v>617</v>
      </c>
      <c r="G366" s="4" t="s">
        <v>618</v>
      </c>
      <c r="H366" s="4">
        <v>11</v>
      </c>
      <c r="I366" s="4">
        <v>0</v>
      </c>
      <c r="J366" s="4">
        <v>0</v>
      </c>
      <c r="K366" s="4">
        <v>0</v>
      </c>
      <c r="L366" s="15">
        <f t="shared" si="166"/>
        <v>0</v>
      </c>
      <c r="M366" s="25" t="str">
        <f t="shared" si="167"/>
        <v>Week Off</v>
      </c>
      <c r="N366" s="27"/>
    </row>
    <row r="367" spans="1:14">
      <c r="A367" s="4" t="s">
        <v>1107</v>
      </c>
      <c r="B367" s="4" t="s">
        <v>803</v>
      </c>
      <c r="C367" s="5">
        <f t="shared" si="168"/>
        <v>319</v>
      </c>
      <c r="D367" s="31"/>
      <c r="E367" s="32"/>
      <c r="F367" s="4" t="s">
        <v>619</v>
      </c>
      <c r="G367" s="4" t="s">
        <v>620</v>
      </c>
      <c r="H367" s="4">
        <v>30</v>
      </c>
      <c r="I367" s="4">
        <v>10</v>
      </c>
      <c r="J367" s="4">
        <v>0</v>
      </c>
      <c r="K367" s="4">
        <v>0</v>
      </c>
      <c r="L367" s="15">
        <f t="shared" si="166"/>
        <v>10</v>
      </c>
      <c r="M367" s="25" t="str">
        <f t="shared" si="167"/>
        <v/>
      </c>
      <c r="N367" s="27"/>
    </row>
    <row r="368" spans="1:14">
      <c r="A368" s="4" t="s">
        <v>1108</v>
      </c>
      <c r="B368" s="4" t="s">
        <v>803</v>
      </c>
      <c r="C368" s="5">
        <f t="shared" si="168"/>
        <v>320</v>
      </c>
      <c r="D368" s="31"/>
      <c r="E368" s="32"/>
      <c r="F368" s="4" t="s">
        <v>621</v>
      </c>
      <c r="G368" s="4" t="s">
        <v>622</v>
      </c>
      <c r="H368" s="4">
        <v>9</v>
      </c>
      <c r="I368" s="4">
        <v>3</v>
      </c>
      <c r="J368" s="4">
        <v>0</v>
      </c>
      <c r="K368" s="4">
        <v>0</v>
      </c>
      <c r="L368" s="15">
        <f t="shared" si="166"/>
        <v>3</v>
      </c>
      <c r="M368" s="25" t="str">
        <f t="shared" si="167"/>
        <v/>
      </c>
      <c r="N368" s="27"/>
    </row>
    <row r="369" spans="1:14">
      <c r="A369" s="4" t="s">
        <v>1109</v>
      </c>
      <c r="B369" s="4" t="s">
        <v>802</v>
      </c>
      <c r="C369" s="5">
        <f t="shared" si="168"/>
        <v>321</v>
      </c>
      <c r="D369" s="31"/>
      <c r="E369" s="32"/>
      <c r="F369" s="4" t="s">
        <v>621</v>
      </c>
      <c r="G369" s="4" t="s">
        <v>623</v>
      </c>
      <c r="H369" s="4">
        <v>13</v>
      </c>
      <c r="I369" s="4">
        <v>5</v>
      </c>
      <c r="J369" s="4">
        <v>0</v>
      </c>
      <c r="K369" s="4">
        <v>0</v>
      </c>
      <c r="L369" s="15">
        <f t="shared" si="166"/>
        <v>5</v>
      </c>
      <c r="M369" s="25" t="str">
        <f t="shared" si="167"/>
        <v/>
      </c>
      <c r="N369" s="27"/>
    </row>
    <row r="370" spans="1:14" ht="15.6">
      <c r="A370" s="4"/>
      <c r="B370" s="4"/>
      <c r="C370" s="5"/>
      <c r="D370" s="31"/>
      <c r="E370" s="6"/>
      <c r="F370" s="7" t="s">
        <v>32</v>
      </c>
      <c r="G370" s="7">
        <v>10</v>
      </c>
      <c r="H370" s="7">
        <f t="shared" ref="H370:L370" si="169">SUM(H360:H369)</f>
        <v>154</v>
      </c>
      <c r="I370" s="7">
        <f t="shared" si="169"/>
        <v>62</v>
      </c>
      <c r="J370" s="7">
        <f t="shared" si="169"/>
        <v>0</v>
      </c>
      <c r="K370" s="7">
        <f t="shared" si="169"/>
        <v>0</v>
      </c>
      <c r="L370" s="7">
        <f t="shared" si="169"/>
        <v>62</v>
      </c>
      <c r="M370" s="25"/>
      <c r="N370" s="27"/>
    </row>
    <row r="371" spans="1:14">
      <c r="A371" s="4" t="s">
        <v>1110</v>
      </c>
      <c r="B371" s="4" t="s">
        <v>798</v>
      </c>
      <c r="C371" s="5">
        <f>C369+1</f>
        <v>322</v>
      </c>
      <c r="D371" s="31"/>
      <c r="E371" s="32" t="s">
        <v>624</v>
      </c>
      <c r="F371" s="5" t="s">
        <v>10</v>
      </c>
      <c r="G371" s="5" t="s">
        <v>625</v>
      </c>
      <c r="H371" s="4">
        <v>1</v>
      </c>
      <c r="I371" s="4">
        <v>0</v>
      </c>
      <c r="J371" s="4">
        <v>0</v>
      </c>
      <c r="K371" s="4">
        <v>0</v>
      </c>
      <c r="L371" s="15">
        <f t="shared" ref="L371:L378" si="170">I371+J371+K371</f>
        <v>0</v>
      </c>
      <c r="M371" s="25" t="str">
        <f t="shared" ref="M371:M378" si="171">IFERROR(IF(TEXT(DATEVALUE(SUBSTITUTE(TRIM(MID($H$2,FIND("on",$H$2)+3,99)),"'","-")),"dddd")=B371,"Week Off",IF(H371="","",IF($H371=0,"Case Not Received",""))),"")</f>
        <v>Week Off</v>
      </c>
      <c r="N371" s="28">
        <f>(COUNTIF(I371:I378,"0"))/8</f>
        <v>0.25</v>
      </c>
    </row>
    <row r="372" spans="1:14">
      <c r="A372" s="4" t="s">
        <v>1111</v>
      </c>
      <c r="B372" s="4" t="s">
        <v>801</v>
      </c>
      <c r="C372" s="5">
        <f>C371+1</f>
        <v>323</v>
      </c>
      <c r="D372" s="31"/>
      <c r="E372" s="32"/>
      <c r="F372" s="5" t="s">
        <v>626</v>
      </c>
      <c r="G372" s="5" t="s">
        <v>627</v>
      </c>
      <c r="H372" s="4">
        <v>7</v>
      </c>
      <c r="I372" s="4">
        <v>3</v>
      </c>
      <c r="J372" s="4">
        <v>0</v>
      </c>
      <c r="K372" s="4">
        <v>0</v>
      </c>
      <c r="L372" s="15">
        <f t="shared" si="170"/>
        <v>3</v>
      </c>
      <c r="M372" s="25" t="str">
        <f t="shared" si="171"/>
        <v/>
      </c>
      <c r="N372" s="28"/>
    </row>
    <row r="373" spans="1:14">
      <c r="A373" s="4" t="s">
        <v>1112</v>
      </c>
      <c r="B373" s="4" t="s">
        <v>802</v>
      </c>
      <c r="C373" s="5">
        <f t="shared" ref="C373:C378" si="172">C372+1</f>
        <v>324</v>
      </c>
      <c r="D373" s="31"/>
      <c r="E373" s="32"/>
      <c r="F373" s="5" t="s">
        <v>628</v>
      </c>
      <c r="G373" s="5" t="s">
        <v>629</v>
      </c>
      <c r="H373" s="4">
        <v>14</v>
      </c>
      <c r="I373" s="4">
        <v>5</v>
      </c>
      <c r="J373" s="4">
        <v>0</v>
      </c>
      <c r="K373" s="4">
        <v>0</v>
      </c>
      <c r="L373" s="15">
        <f t="shared" si="170"/>
        <v>5</v>
      </c>
      <c r="M373" s="25" t="str">
        <f t="shared" si="171"/>
        <v/>
      </c>
      <c r="N373" s="28"/>
    </row>
    <row r="374" spans="1:14">
      <c r="A374" s="4" t="s">
        <v>1113</v>
      </c>
      <c r="B374" s="4" t="s">
        <v>801</v>
      </c>
      <c r="C374" s="5">
        <f t="shared" si="172"/>
        <v>325</v>
      </c>
      <c r="D374" s="31"/>
      <c r="E374" s="32"/>
      <c r="F374" s="5" t="s">
        <v>630</v>
      </c>
      <c r="G374" s="5" t="s">
        <v>631</v>
      </c>
      <c r="H374" s="4">
        <v>5</v>
      </c>
      <c r="I374" s="4">
        <v>3</v>
      </c>
      <c r="J374" s="4">
        <v>0</v>
      </c>
      <c r="K374" s="4">
        <v>0</v>
      </c>
      <c r="L374" s="15">
        <f t="shared" si="170"/>
        <v>3</v>
      </c>
      <c r="M374" s="25" t="str">
        <f t="shared" si="171"/>
        <v/>
      </c>
      <c r="N374" s="28"/>
    </row>
    <row r="375" spans="1:14">
      <c r="A375" s="24" t="s">
        <v>1194</v>
      </c>
      <c r="B375" s="4" t="s">
        <v>798</v>
      </c>
      <c r="C375" s="5">
        <f t="shared" si="172"/>
        <v>326</v>
      </c>
      <c r="D375" s="31"/>
      <c r="E375" s="32"/>
      <c r="F375" s="5" t="s">
        <v>632</v>
      </c>
      <c r="G375" s="5" t="s">
        <v>633</v>
      </c>
      <c r="H375" s="4">
        <v>8</v>
      </c>
      <c r="I375" s="4">
        <v>0</v>
      </c>
      <c r="J375" s="4">
        <v>0</v>
      </c>
      <c r="K375" s="4">
        <v>0</v>
      </c>
      <c r="L375" s="15">
        <f t="shared" si="170"/>
        <v>0</v>
      </c>
      <c r="M375" s="25" t="str">
        <f t="shared" si="171"/>
        <v>Week Off</v>
      </c>
      <c r="N375" s="28"/>
    </row>
    <row r="376" spans="1:14">
      <c r="A376" s="4" t="s">
        <v>1114</v>
      </c>
      <c r="B376" s="4" t="s">
        <v>797</v>
      </c>
      <c r="C376" s="5">
        <f t="shared" si="172"/>
        <v>327</v>
      </c>
      <c r="D376" s="31"/>
      <c r="E376" s="32"/>
      <c r="F376" s="5" t="s">
        <v>634</v>
      </c>
      <c r="G376" s="5" t="s">
        <v>635</v>
      </c>
      <c r="H376" s="4">
        <v>8</v>
      </c>
      <c r="I376" s="4">
        <v>5</v>
      </c>
      <c r="J376" s="4">
        <v>0</v>
      </c>
      <c r="K376" s="4">
        <v>0</v>
      </c>
      <c r="L376" s="15">
        <f t="shared" si="170"/>
        <v>5</v>
      </c>
      <c r="M376" s="25" t="str">
        <f t="shared" si="171"/>
        <v/>
      </c>
      <c r="N376" s="28"/>
    </row>
    <row r="377" spans="1:14">
      <c r="A377" s="4" t="s">
        <v>1115</v>
      </c>
      <c r="B377" s="4" t="s">
        <v>799</v>
      </c>
      <c r="C377" s="5">
        <f t="shared" si="172"/>
        <v>328</v>
      </c>
      <c r="D377" s="31"/>
      <c r="E377" s="32"/>
      <c r="F377" s="5" t="s">
        <v>636</v>
      </c>
      <c r="G377" s="5" t="s">
        <v>637</v>
      </c>
      <c r="H377" s="4">
        <v>11</v>
      </c>
      <c r="I377" s="4">
        <v>5</v>
      </c>
      <c r="J377" s="4">
        <v>0</v>
      </c>
      <c r="K377" s="4">
        <v>0</v>
      </c>
      <c r="L377" s="15">
        <f t="shared" si="170"/>
        <v>5</v>
      </c>
      <c r="M377" s="25" t="str">
        <f t="shared" si="171"/>
        <v/>
      </c>
      <c r="N377" s="28"/>
    </row>
    <row r="378" spans="1:14">
      <c r="A378" s="4" t="s">
        <v>1116</v>
      </c>
      <c r="B378" s="4" t="s">
        <v>800</v>
      </c>
      <c r="C378" s="5">
        <f t="shared" si="172"/>
        <v>329</v>
      </c>
      <c r="D378" s="31"/>
      <c r="E378" s="32"/>
      <c r="F378" s="5" t="s">
        <v>638</v>
      </c>
      <c r="G378" s="5" t="s">
        <v>639</v>
      </c>
      <c r="H378" s="4">
        <v>7</v>
      </c>
      <c r="I378" s="4">
        <v>4</v>
      </c>
      <c r="J378" s="4">
        <v>0</v>
      </c>
      <c r="K378" s="4">
        <v>0</v>
      </c>
      <c r="L378" s="15">
        <f t="shared" si="170"/>
        <v>4</v>
      </c>
      <c r="M378" s="25" t="str">
        <f t="shared" si="171"/>
        <v/>
      </c>
      <c r="N378" s="28"/>
    </row>
    <row r="379" spans="1:14" ht="15.6">
      <c r="A379" s="4"/>
      <c r="B379" s="4"/>
      <c r="C379" s="5"/>
      <c r="D379" s="31"/>
      <c r="E379" s="6"/>
      <c r="F379" s="7" t="s">
        <v>32</v>
      </c>
      <c r="G379" s="7">
        <v>8</v>
      </c>
      <c r="H379" s="7">
        <f t="shared" ref="H379:L379" si="173">SUM(H371:H378)</f>
        <v>61</v>
      </c>
      <c r="I379" s="7">
        <f t="shared" si="173"/>
        <v>25</v>
      </c>
      <c r="J379" s="7">
        <f t="shared" si="173"/>
        <v>0</v>
      </c>
      <c r="K379" s="7">
        <f t="shared" si="173"/>
        <v>0</v>
      </c>
      <c r="L379" s="7">
        <f t="shared" si="173"/>
        <v>25</v>
      </c>
      <c r="M379" s="25"/>
      <c r="N379" s="28"/>
    </row>
    <row r="380" spans="1:14">
      <c r="A380" s="4" t="s">
        <v>1117</v>
      </c>
      <c r="B380" s="4" t="s">
        <v>802</v>
      </c>
      <c r="C380" s="5">
        <f>C378+1</f>
        <v>330</v>
      </c>
      <c r="D380" s="31"/>
      <c r="E380" s="33" t="s">
        <v>640</v>
      </c>
      <c r="F380" s="4" t="s">
        <v>10</v>
      </c>
      <c r="G380" s="4" t="s">
        <v>641</v>
      </c>
      <c r="H380" s="4">
        <v>14</v>
      </c>
      <c r="I380" s="4">
        <v>11</v>
      </c>
      <c r="J380" s="4">
        <v>0</v>
      </c>
      <c r="K380" s="4">
        <v>0</v>
      </c>
      <c r="L380" s="15">
        <f t="shared" ref="L380:L382" si="174">I380+J380+K380</f>
        <v>11</v>
      </c>
      <c r="M380" s="25" t="str">
        <f t="shared" ref="M380:M382" si="175">IFERROR(IF(TEXT(DATEVALUE(SUBSTITUTE(TRIM(MID($H$2,FIND("on",$H$2)+3,99)),"'","-")),"dddd")=B380,"Week Off",IF(H380="","",IF($H380=0,"Case Not Received",""))),"")</f>
        <v/>
      </c>
      <c r="N380" s="27">
        <f>(COUNTIF(H380:H382,"0"))/3</f>
        <v>0</v>
      </c>
    </row>
    <row r="381" spans="1:14">
      <c r="A381" s="4" t="s">
        <v>1118</v>
      </c>
      <c r="B381" s="4" t="s">
        <v>799</v>
      </c>
      <c r="C381" s="5">
        <f>C380+1</f>
        <v>331</v>
      </c>
      <c r="D381" s="31"/>
      <c r="E381" s="33"/>
      <c r="F381" s="4" t="s">
        <v>642</v>
      </c>
      <c r="G381" s="4" t="s">
        <v>643</v>
      </c>
      <c r="H381" s="4">
        <v>8</v>
      </c>
      <c r="I381" s="4">
        <v>4</v>
      </c>
      <c r="J381" s="4">
        <v>0</v>
      </c>
      <c r="K381" s="4">
        <v>0</v>
      </c>
      <c r="L381" s="15">
        <f t="shared" si="174"/>
        <v>4</v>
      </c>
      <c r="M381" s="25" t="str">
        <f t="shared" si="175"/>
        <v/>
      </c>
      <c r="N381" s="27"/>
    </row>
    <row r="382" spans="1:14">
      <c r="A382" s="24" t="s">
        <v>1004</v>
      </c>
      <c r="B382" s="4" t="s">
        <v>801</v>
      </c>
      <c r="C382" s="5">
        <f>C381+1</f>
        <v>332</v>
      </c>
      <c r="D382" s="31"/>
      <c r="E382" s="33"/>
      <c r="F382" s="4" t="s">
        <v>644</v>
      </c>
      <c r="G382" s="4" t="s">
        <v>645</v>
      </c>
      <c r="H382" s="4">
        <v>11</v>
      </c>
      <c r="I382" s="4">
        <v>2</v>
      </c>
      <c r="J382" s="4">
        <v>0</v>
      </c>
      <c r="K382" s="4">
        <v>0</v>
      </c>
      <c r="L382" s="15">
        <f t="shared" si="174"/>
        <v>2</v>
      </c>
      <c r="M382" s="25" t="str">
        <f t="shared" si="175"/>
        <v/>
      </c>
      <c r="N382" s="27"/>
    </row>
    <row r="383" spans="1:14" ht="15.6">
      <c r="A383" s="4"/>
      <c r="B383" s="4"/>
      <c r="C383" s="5"/>
      <c r="D383" s="31"/>
      <c r="E383" s="6"/>
      <c r="F383" s="7" t="s">
        <v>32</v>
      </c>
      <c r="G383" s="7">
        <v>3</v>
      </c>
      <c r="H383" s="7">
        <f t="shared" ref="H383:L383" si="176">SUM(H380:H382)</f>
        <v>33</v>
      </c>
      <c r="I383" s="7">
        <f t="shared" si="176"/>
        <v>17</v>
      </c>
      <c r="J383" s="7">
        <f t="shared" si="176"/>
        <v>0</v>
      </c>
      <c r="K383" s="7">
        <f t="shared" si="176"/>
        <v>0</v>
      </c>
      <c r="L383" s="7">
        <f t="shared" si="176"/>
        <v>17</v>
      </c>
      <c r="M383" s="25"/>
      <c r="N383" s="27"/>
    </row>
    <row r="384" spans="1:14">
      <c r="A384" s="4" t="s">
        <v>1120</v>
      </c>
      <c r="B384" s="4" t="s">
        <v>797</v>
      </c>
      <c r="C384" s="5">
        <f>C382+1</f>
        <v>333</v>
      </c>
      <c r="D384" s="31"/>
      <c r="E384" s="32" t="s">
        <v>646</v>
      </c>
      <c r="F384" s="5" t="s">
        <v>10</v>
      </c>
      <c r="G384" s="5" t="s">
        <v>647</v>
      </c>
      <c r="H384" s="4">
        <v>6</v>
      </c>
      <c r="I384" s="4">
        <v>2</v>
      </c>
      <c r="J384" s="4">
        <v>0</v>
      </c>
      <c r="K384" s="4">
        <v>0</v>
      </c>
      <c r="L384" s="15">
        <f t="shared" ref="L384:L390" si="177">I384+J384+K384</f>
        <v>2</v>
      </c>
      <c r="M384" s="25" t="str">
        <f t="shared" ref="M384:M390" si="178">IFERROR(IF(TEXT(DATEVALUE(SUBSTITUTE(TRIM(MID($H$2,FIND("on",$H$2)+3,99)),"'","-")),"dddd")=B384,"Week Off",IF(H384="","",IF($H384=0,"Case Not Received",""))),"")</f>
        <v/>
      </c>
      <c r="N384" s="28">
        <f>(COUNTIF(I384:I390,"0"))/7</f>
        <v>0.14285714285714285</v>
      </c>
    </row>
    <row r="385" spans="1:14">
      <c r="A385" s="4" t="s">
        <v>1121</v>
      </c>
      <c r="B385" s="4" t="s">
        <v>798</v>
      </c>
      <c r="C385" s="5">
        <f t="shared" ref="C385:C390" si="179">C384+1</f>
        <v>334</v>
      </c>
      <c r="D385" s="31"/>
      <c r="E385" s="32"/>
      <c r="F385" s="5" t="s">
        <v>648</v>
      </c>
      <c r="G385" s="5" t="s">
        <v>649</v>
      </c>
      <c r="H385" s="4">
        <v>6</v>
      </c>
      <c r="I385" s="4">
        <v>0</v>
      </c>
      <c r="J385" s="4">
        <v>0</v>
      </c>
      <c r="K385" s="4">
        <v>0</v>
      </c>
      <c r="L385" s="15">
        <f t="shared" si="177"/>
        <v>0</v>
      </c>
      <c r="M385" s="25" t="str">
        <f t="shared" si="178"/>
        <v>Week Off</v>
      </c>
      <c r="N385" s="28"/>
    </row>
    <row r="386" spans="1:14">
      <c r="A386" s="4" t="s">
        <v>1123</v>
      </c>
      <c r="B386" s="4" t="s">
        <v>799</v>
      </c>
      <c r="C386" s="5">
        <f t="shared" si="179"/>
        <v>335</v>
      </c>
      <c r="D386" s="31"/>
      <c r="E386" s="32"/>
      <c r="F386" s="5" t="s">
        <v>650</v>
      </c>
      <c r="G386" s="5" t="s">
        <v>651</v>
      </c>
      <c r="H386" s="4">
        <v>9</v>
      </c>
      <c r="I386" s="4">
        <v>5</v>
      </c>
      <c r="J386" s="4">
        <v>0</v>
      </c>
      <c r="K386" s="4">
        <v>0</v>
      </c>
      <c r="L386" s="15">
        <f t="shared" si="177"/>
        <v>5</v>
      </c>
      <c r="M386" s="25" t="str">
        <f t="shared" si="178"/>
        <v/>
      </c>
      <c r="N386" s="28"/>
    </row>
    <row r="387" spans="1:14">
      <c r="A387" s="4" t="s">
        <v>1122</v>
      </c>
      <c r="B387" s="4" t="s">
        <v>800</v>
      </c>
      <c r="C387" s="5">
        <f t="shared" si="179"/>
        <v>336</v>
      </c>
      <c r="D387" s="31"/>
      <c r="E387" s="32"/>
      <c r="F387" s="5" t="s">
        <v>652</v>
      </c>
      <c r="G387" s="5" t="s">
        <v>653</v>
      </c>
      <c r="H387" s="4">
        <v>18</v>
      </c>
      <c r="I387" s="4">
        <v>8</v>
      </c>
      <c r="J387" s="4">
        <v>0</v>
      </c>
      <c r="K387" s="4">
        <v>0</v>
      </c>
      <c r="L387" s="15">
        <f t="shared" si="177"/>
        <v>8</v>
      </c>
      <c r="M387" s="25" t="str">
        <f t="shared" si="178"/>
        <v/>
      </c>
      <c r="N387" s="28"/>
    </row>
    <row r="388" spans="1:14">
      <c r="A388" s="4" t="s">
        <v>1124</v>
      </c>
      <c r="B388" s="4" t="s">
        <v>801</v>
      </c>
      <c r="C388" s="5">
        <f t="shared" si="179"/>
        <v>337</v>
      </c>
      <c r="D388" s="31"/>
      <c r="E388" s="32"/>
      <c r="F388" s="5" t="s">
        <v>654</v>
      </c>
      <c r="G388" s="5" t="s">
        <v>655</v>
      </c>
      <c r="H388" s="4">
        <v>8</v>
      </c>
      <c r="I388" s="4">
        <v>2</v>
      </c>
      <c r="J388" s="4">
        <v>0</v>
      </c>
      <c r="K388" s="4">
        <v>0</v>
      </c>
      <c r="L388" s="15">
        <f t="shared" si="177"/>
        <v>2</v>
      </c>
      <c r="M388" s="25" t="str">
        <f t="shared" si="178"/>
        <v/>
      </c>
      <c r="N388" s="28"/>
    </row>
    <row r="389" spans="1:14">
      <c r="A389" s="4" t="s">
        <v>1125</v>
      </c>
      <c r="B389" s="4" t="s">
        <v>802</v>
      </c>
      <c r="C389" s="5">
        <f t="shared" si="179"/>
        <v>338</v>
      </c>
      <c r="D389" s="31"/>
      <c r="E389" s="32"/>
      <c r="F389" s="5" t="s">
        <v>656</v>
      </c>
      <c r="G389" s="5" t="s">
        <v>657</v>
      </c>
      <c r="H389" s="4">
        <v>11</v>
      </c>
      <c r="I389" s="4">
        <v>2</v>
      </c>
      <c r="J389" s="4">
        <v>0</v>
      </c>
      <c r="K389" s="4">
        <v>0</v>
      </c>
      <c r="L389" s="15">
        <f t="shared" si="177"/>
        <v>2</v>
      </c>
      <c r="M389" s="25" t="str">
        <f t="shared" si="178"/>
        <v/>
      </c>
      <c r="N389" s="28"/>
    </row>
    <row r="390" spans="1:14">
      <c r="A390" s="4" t="s">
        <v>1126</v>
      </c>
      <c r="B390" s="4" t="s">
        <v>803</v>
      </c>
      <c r="C390" s="5">
        <f t="shared" si="179"/>
        <v>339</v>
      </c>
      <c r="D390" s="31"/>
      <c r="E390" s="32"/>
      <c r="F390" s="12" t="s">
        <v>792</v>
      </c>
      <c r="G390" s="5" t="s">
        <v>658</v>
      </c>
      <c r="H390" s="4">
        <v>18</v>
      </c>
      <c r="I390" s="4">
        <v>4</v>
      </c>
      <c r="J390" s="4">
        <v>0</v>
      </c>
      <c r="K390" s="4">
        <v>0</v>
      </c>
      <c r="L390" s="15">
        <f t="shared" si="177"/>
        <v>4</v>
      </c>
      <c r="M390" s="25" t="str">
        <f t="shared" si="178"/>
        <v/>
      </c>
      <c r="N390" s="28"/>
    </row>
    <row r="391" spans="1:14" ht="15.6">
      <c r="A391" s="4"/>
      <c r="B391" s="4"/>
      <c r="C391" s="5"/>
      <c r="D391" s="31"/>
      <c r="E391" s="6"/>
      <c r="F391" s="7" t="s">
        <v>32</v>
      </c>
      <c r="G391" s="7">
        <v>7</v>
      </c>
      <c r="H391" s="7">
        <f t="shared" ref="H391:L391" si="180">SUM(H384:H390)</f>
        <v>76</v>
      </c>
      <c r="I391" s="7">
        <f t="shared" si="180"/>
        <v>23</v>
      </c>
      <c r="J391" s="7">
        <f t="shared" si="180"/>
        <v>0</v>
      </c>
      <c r="K391" s="7">
        <f t="shared" si="180"/>
        <v>0</v>
      </c>
      <c r="L391" s="7">
        <f t="shared" si="180"/>
        <v>23</v>
      </c>
      <c r="M391" s="25"/>
      <c r="N391" s="28"/>
    </row>
    <row r="392" spans="1:14">
      <c r="A392" s="4" t="s">
        <v>1127</v>
      </c>
      <c r="B392" s="4" t="s">
        <v>803</v>
      </c>
      <c r="C392" s="5">
        <f>C390+1</f>
        <v>340</v>
      </c>
      <c r="D392" s="31"/>
      <c r="E392" s="32" t="s">
        <v>604</v>
      </c>
      <c r="F392" s="5" t="s">
        <v>10</v>
      </c>
      <c r="G392" s="5" t="s">
        <v>659</v>
      </c>
      <c r="H392" s="4">
        <v>5</v>
      </c>
      <c r="I392" s="4">
        <v>4</v>
      </c>
      <c r="J392" s="4">
        <v>0</v>
      </c>
      <c r="K392" s="4">
        <v>0</v>
      </c>
      <c r="L392" s="15">
        <f t="shared" ref="L392:L404" si="181">I392+J392+K392</f>
        <v>4</v>
      </c>
      <c r="M392" s="25" t="str">
        <f t="shared" ref="M392:M404" si="182">IFERROR(IF(TEXT(DATEVALUE(SUBSTITUTE(TRIM(MID($H$2,FIND("on",$H$2)+3,99)),"'","-")),"dddd")=B392,"Week Off",IF(H392="","",IF($H392=0,"Case Not Received",""))),"")</f>
        <v/>
      </c>
      <c r="N392" s="28">
        <f>(COUNTIF(I392:I404,"0"))/13</f>
        <v>0.23076923076923078</v>
      </c>
    </row>
    <row r="393" spans="1:14">
      <c r="A393" s="4" t="s">
        <v>1128</v>
      </c>
      <c r="B393" s="4" t="s">
        <v>797</v>
      </c>
      <c r="C393" s="5">
        <f t="shared" ref="C393:C404" si="183">C392+1</f>
        <v>341</v>
      </c>
      <c r="D393" s="31"/>
      <c r="E393" s="32"/>
      <c r="F393" s="5" t="s">
        <v>660</v>
      </c>
      <c r="G393" s="5" t="s">
        <v>661</v>
      </c>
      <c r="H393" s="4">
        <v>13</v>
      </c>
      <c r="I393" s="4">
        <v>4</v>
      </c>
      <c r="J393" s="4">
        <v>0</v>
      </c>
      <c r="K393" s="4">
        <v>0</v>
      </c>
      <c r="L393" s="15">
        <f t="shared" si="181"/>
        <v>4</v>
      </c>
      <c r="M393" s="25" t="str">
        <f t="shared" si="182"/>
        <v/>
      </c>
      <c r="N393" s="28"/>
    </row>
    <row r="394" spans="1:14">
      <c r="A394" s="4" t="s">
        <v>1129</v>
      </c>
      <c r="B394" s="4" t="s">
        <v>803</v>
      </c>
      <c r="C394" s="5">
        <f t="shared" si="183"/>
        <v>342</v>
      </c>
      <c r="D394" s="31"/>
      <c r="E394" s="32"/>
      <c r="F394" s="5" t="s">
        <v>662</v>
      </c>
      <c r="G394" s="5" t="s">
        <v>663</v>
      </c>
      <c r="H394" s="4">
        <v>9</v>
      </c>
      <c r="I394" s="4">
        <v>0</v>
      </c>
      <c r="J394" s="4">
        <v>0</v>
      </c>
      <c r="K394" s="4">
        <v>0</v>
      </c>
      <c r="L394" s="15">
        <f t="shared" si="181"/>
        <v>0</v>
      </c>
      <c r="M394" s="25" t="str">
        <f t="shared" si="182"/>
        <v/>
      </c>
      <c r="N394" s="28"/>
    </row>
    <row r="395" spans="1:14">
      <c r="A395" s="4" t="s">
        <v>1130</v>
      </c>
      <c r="B395" s="4" t="s">
        <v>797</v>
      </c>
      <c r="C395" s="5">
        <f t="shared" si="183"/>
        <v>343</v>
      </c>
      <c r="D395" s="31"/>
      <c r="E395" s="32"/>
      <c r="F395" s="5" t="s">
        <v>664</v>
      </c>
      <c r="G395" s="5" t="s">
        <v>665</v>
      </c>
      <c r="H395" s="4">
        <v>11</v>
      </c>
      <c r="I395" s="4">
        <v>9</v>
      </c>
      <c r="J395" s="4">
        <v>0</v>
      </c>
      <c r="K395" s="4">
        <v>0</v>
      </c>
      <c r="L395" s="15">
        <f t="shared" si="181"/>
        <v>9</v>
      </c>
      <c r="M395" s="25" t="str">
        <f t="shared" si="182"/>
        <v/>
      </c>
      <c r="N395" s="28"/>
    </row>
    <row r="396" spans="1:14">
      <c r="A396" s="4" t="s">
        <v>1131</v>
      </c>
      <c r="B396" s="4" t="s">
        <v>799</v>
      </c>
      <c r="C396" s="5">
        <f t="shared" si="183"/>
        <v>344</v>
      </c>
      <c r="D396" s="31"/>
      <c r="E396" s="32"/>
      <c r="F396" s="5" t="s">
        <v>666</v>
      </c>
      <c r="G396" s="5" t="s">
        <v>667</v>
      </c>
      <c r="H396" s="4">
        <v>12</v>
      </c>
      <c r="I396" s="4">
        <v>3</v>
      </c>
      <c r="J396" s="4">
        <v>0</v>
      </c>
      <c r="K396" s="4">
        <v>0</v>
      </c>
      <c r="L396" s="15">
        <f t="shared" si="181"/>
        <v>3</v>
      </c>
      <c r="M396" s="25" t="str">
        <f t="shared" si="182"/>
        <v/>
      </c>
      <c r="N396" s="28"/>
    </row>
    <row r="397" spans="1:14">
      <c r="A397" s="4" t="s">
        <v>1132</v>
      </c>
      <c r="B397" s="4" t="s">
        <v>802</v>
      </c>
      <c r="C397" s="5">
        <f t="shared" si="183"/>
        <v>345</v>
      </c>
      <c r="D397" s="31"/>
      <c r="E397" s="32"/>
      <c r="F397" s="5" t="s">
        <v>668</v>
      </c>
      <c r="G397" s="5" t="s">
        <v>669</v>
      </c>
      <c r="H397" s="4">
        <v>8</v>
      </c>
      <c r="I397" s="4">
        <v>5</v>
      </c>
      <c r="J397" s="4">
        <v>0</v>
      </c>
      <c r="K397" s="4">
        <v>0</v>
      </c>
      <c r="L397" s="15">
        <f t="shared" si="181"/>
        <v>5</v>
      </c>
      <c r="M397" s="25" t="str">
        <f t="shared" si="182"/>
        <v/>
      </c>
      <c r="N397" s="28"/>
    </row>
    <row r="398" spans="1:14">
      <c r="A398" s="4" t="s">
        <v>1133</v>
      </c>
      <c r="B398" s="4" t="s">
        <v>798</v>
      </c>
      <c r="C398" s="5">
        <f t="shared" si="183"/>
        <v>346</v>
      </c>
      <c r="D398" s="31"/>
      <c r="E398" s="32"/>
      <c r="F398" s="5" t="s">
        <v>670</v>
      </c>
      <c r="G398" s="5" t="s">
        <v>671</v>
      </c>
      <c r="H398" s="4">
        <v>9</v>
      </c>
      <c r="I398" s="4">
        <v>0</v>
      </c>
      <c r="J398" s="4">
        <v>0</v>
      </c>
      <c r="K398" s="4">
        <v>0</v>
      </c>
      <c r="L398" s="15">
        <f t="shared" si="181"/>
        <v>0</v>
      </c>
      <c r="M398" s="25" t="str">
        <f t="shared" si="182"/>
        <v>Week Off</v>
      </c>
      <c r="N398" s="28"/>
    </row>
    <row r="399" spans="1:14">
      <c r="A399" s="4" t="s">
        <v>1134</v>
      </c>
      <c r="B399" s="4" t="s">
        <v>801</v>
      </c>
      <c r="C399" s="5">
        <f t="shared" si="183"/>
        <v>347</v>
      </c>
      <c r="D399" s="31"/>
      <c r="E399" s="32"/>
      <c r="F399" s="5" t="s">
        <v>672</v>
      </c>
      <c r="G399" s="5" t="s">
        <v>673</v>
      </c>
      <c r="H399" s="4">
        <v>12</v>
      </c>
      <c r="I399" s="4">
        <v>10</v>
      </c>
      <c r="J399" s="4">
        <v>0</v>
      </c>
      <c r="K399" s="4">
        <v>0</v>
      </c>
      <c r="L399" s="15">
        <f t="shared" si="181"/>
        <v>10</v>
      </c>
      <c r="M399" s="25" t="str">
        <f t="shared" si="182"/>
        <v/>
      </c>
      <c r="N399" s="28"/>
    </row>
    <row r="400" spans="1:14">
      <c r="A400" s="4" t="s">
        <v>1135</v>
      </c>
      <c r="B400" s="4" t="s">
        <v>802</v>
      </c>
      <c r="C400" s="5">
        <f t="shared" si="183"/>
        <v>348</v>
      </c>
      <c r="D400" s="31"/>
      <c r="E400" s="32"/>
      <c r="F400" s="5" t="s">
        <v>674</v>
      </c>
      <c r="G400" s="5" t="s">
        <v>675</v>
      </c>
      <c r="H400" s="4">
        <v>10</v>
      </c>
      <c r="I400" s="4">
        <v>6</v>
      </c>
      <c r="J400" s="4">
        <v>0</v>
      </c>
      <c r="K400" s="4">
        <v>0</v>
      </c>
      <c r="L400" s="15">
        <f t="shared" si="181"/>
        <v>6</v>
      </c>
      <c r="M400" s="25" t="str">
        <f t="shared" si="182"/>
        <v/>
      </c>
      <c r="N400" s="28"/>
    </row>
    <row r="401" spans="1:14">
      <c r="A401" s="4" t="s">
        <v>1136</v>
      </c>
      <c r="B401" s="4" t="s">
        <v>799</v>
      </c>
      <c r="C401" s="5">
        <f t="shared" si="183"/>
        <v>349</v>
      </c>
      <c r="D401" s="31"/>
      <c r="E401" s="32"/>
      <c r="F401" s="5" t="s">
        <v>676</v>
      </c>
      <c r="G401" s="5" t="s">
        <v>677</v>
      </c>
      <c r="H401" s="4">
        <v>6</v>
      </c>
      <c r="I401" s="4">
        <v>5</v>
      </c>
      <c r="J401" s="4">
        <v>0</v>
      </c>
      <c r="K401" s="4">
        <v>0</v>
      </c>
      <c r="L401" s="15">
        <f t="shared" si="181"/>
        <v>5</v>
      </c>
      <c r="M401" s="25" t="str">
        <f t="shared" si="182"/>
        <v/>
      </c>
      <c r="N401" s="28"/>
    </row>
    <row r="402" spans="1:14">
      <c r="A402" s="4" t="s">
        <v>1137</v>
      </c>
      <c r="B402" s="4" t="s">
        <v>801</v>
      </c>
      <c r="C402" s="5">
        <f t="shared" si="183"/>
        <v>350</v>
      </c>
      <c r="D402" s="31"/>
      <c r="E402" s="32"/>
      <c r="F402" s="5" t="s">
        <v>678</v>
      </c>
      <c r="G402" s="5" t="s">
        <v>679</v>
      </c>
      <c r="H402" s="4">
        <v>5</v>
      </c>
      <c r="I402" s="4">
        <v>5</v>
      </c>
      <c r="J402" s="4">
        <v>0</v>
      </c>
      <c r="K402" s="4">
        <v>0</v>
      </c>
      <c r="L402" s="15">
        <f t="shared" si="181"/>
        <v>5</v>
      </c>
      <c r="M402" s="25" t="str">
        <f t="shared" si="182"/>
        <v/>
      </c>
      <c r="N402" s="28"/>
    </row>
    <row r="403" spans="1:14">
      <c r="A403" s="4" t="s">
        <v>1138</v>
      </c>
      <c r="B403" s="4" t="s">
        <v>800</v>
      </c>
      <c r="C403" s="5">
        <f t="shared" si="183"/>
        <v>351</v>
      </c>
      <c r="D403" s="31"/>
      <c r="E403" s="32"/>
      <c r="F403" s="5" t="s">
        <v>678</v>
      </c>
      <c r="G403" s="5" t="s">
        <v>680</v>
      </c>
      <c r="H403" s="4">
        <v>4</v>
      </c>
      <c r="I403" s="4">
        <v>2</v>
      </c>
      <c r="J403" s="4">
        <v>0</v>
      </c>
      <c r="K403" s="4">
        <v>0</v>
      </c>
      <c r="L403" s="15">
        <f t="shared" si="181"/>
        <v>2</v>
      </c>
      <c r="M403" s="25" t="str">
        <f t="shared" si="182"/>
        <v/>
      </c>
      <c r="N403" s="28"/>
    </row>
    <row r="404" spans="1:14">
      <c r="A404" s="4" t="s">
        <v>1139</v>
      </c>
      <c r="B404" s="4" t="s">
        <v>798</v>
      </c>
      <c r="C404" s="5">
        <f t="shared" si="183"/>
        <v>352</v>
      </c>
      <c r="D404" s="31"/>
      <c r="E404" s="32"/>
      <c r="F404" s="5" t="s">
        <v>681</v>
      </c>
      <c r="G404" s="5" t="s">
        <v>682</v>
      </c>
      <c r="H404" s="4">
        <v>10</v>
      </c>
      <c r="I404" s="4">
        <v>0</v>
      </c>
      <c r="J404" s="4">
        <v>0</v>
      </c>
      <c r="K404" s="4">
        <v>0</v>
      </c>
      <c r="L404" s="15">
        <f t="shared" si="181"/>
        <v>0</v>
      </c>
      <c r="M404" s="25" t="str">
        <f t="shared" si="182"/>
        <v>Week Off</v>
      </c>
      <c r="N404" s="28"/>
    </row>
    <row r="405" spans="1:14" ht="15.6">
      <c r="A405" s="4"/>
      <c r="B405" s="4"/>
      <c r="C405" s="5"/>
      <c r="D405" s="31"/>
      <c r="E405" s="6"/>
      <c r="F405" s="7" t="s">
        <v>32</v>
      </c>
      <c r="G405" s="7">
        <v>13</v>
      </c>
      <c r="H405" s="7">
        <f t="shared" ref="H405:L405" si="184">SUM(H392:H404)</f>
        <v>114</v>
      </c>
      <c r="I405" s="7">
        <f t="shared" si="184"/>
        <v>53</v>
      </c>
      <c r="J405" s="7">
        <f t="shared" si="184"/>
        <v>0</v>
      </c>
      <c r="K405" s="7">
        <f t="shared" si="184"/>
        <v>0</v>
      </c>
      <c r="L405" s="7">
        <f t="shared" si="184"/>
        <v>53</v>
      </c>
      <c r="M405" s="25"/>
      <c r="N405" s="28"/>
    </row>
    <row r="406" spans="1:14">
      <c r="A406" s="4" t="s">
        <v>1140</v>
      </c>
      <c r="B406" s="4" t="s">
        <v>797</v>
      </c>
      <c r="C406" s="5">
        <f>C404+1</f>
        <v>353</v>
      </c>
      <c r="D406" s="31"/>
      <c r="E406" s="33" t="s">
        <v>683</v>
      </c>
      <c r="F406" s="4" t="s">
        <v>10</v>
      </c>
      <c r="G406" s="4" t="s">
        <v>684</v>
      </c>
      <c r="H406" s="4">
        <v>14</v>
      </c>
      <c r="I406" s="4">
        <v>0</v>
      </c>
      <c r="J406" s="4">
        <v>0</v>
      </c>
      <c r="K406" s="4">
        <v>0</v>
      </c>
      <c r="L406" s="15">
        <f t="shared" ref="L406:L411" si="185">I406+J406+K406</f>
        <v>0</v>
      </c>
      <c r="M406" s="25" t="str">
        <f t="shared" ref="M406:M411" si="186">IFERROR(IF(TEXT(DATEVALUE(SUBSTITUTE(TRIM(MID($H$2,FIND("on",$H$2)+3,99)),"'","-")),"dddd")=B406,"Week Off",IF(H406="","",IF($H406=0,"Case Not Received",""))),"")</f>
        <v/>
      </c>
      <c r="N406" s="27">
        <f>(COUNTIF(I406:I411,"0"))/6</f>
        <v>0.33333333333333331</v>
      </c>
    </row>
    <row r="407" spans="1:14">
      <c r="A407" s="4" t="s">
        <v>1141</v>
      </c>
      <c r="B407" s="4" t="s">
        <v>802</v>
      </c>
      <c r="C407" s="5">
        <f>C406+1</f>
        <v>354</v>
      </c>
      <c r="D407" s="31"/>
      <c r="E407" s="33"/>
      <c r="F407" s="4" t="s">
        <v>685</v>
      </c>
      <c r="G407" s="4" t="s">
        <v>686</v>
      </c>
      <c r="H407" s="4">
        <v>18</v>
      </c>
      <c r="I407" s="4">
        <v>9</v>
      </c>
      <c r="J407" s="4">
        <v>0</v>
      </c>
      <c r="K407" s="4">
        <v>0</v>
      </c>
      <c r="L407" s="15">
        <f t="shared" si="185"/>
        <v>9</v>
      </c>
      <c r="M407" s="25" t="str">
        <f t="shared" si="186"/>
        <v/>
      </c>
      <c r="N407" s="27"/>
    </row>
    <row r="408" spans="1:14">
      <c r="A408" s="4" t="s">
        <v>1142</v>
      </c>
      <c r="B408" s="4" t="s">
        <v>799</v>
      </c>
      <c r="C408" s="5">
        <f t="shared" ref="C408:C411" si="187">C407+1</f>
        <v>355</v>
      </c>
      <c r="D408" s="31"/>
      <c r="E408" s="33"/>
      <c r="F408" s="4" t="s">
        <v>687</v>
      </c>
      <c r="G408" s="4" t="s">
        <v>688</v>
      </c>
      <c r="H408" s="4">
        <v>18</v>
      </c>
      <c r="I408" s="4">
        <v>5</v>
      </c>
      <c r="J408" s="4">
        <v>0</v>
      </c>
      <c r="K408" s="4">
        <v>0</v>
      </c>
      <c r="L408" s="15">
        <f t="shared" si="185"/>
        <v>5</v>
      </c>
      <c r="M408" s="25" t="str">
        <f t="shared" si="186"/>
        <v/>
      </c>
      <c r="N408" s="27"/>
    </row>
    <row r="409" spans="1:14">
      <c r="A409" s="4" t="s">
        <v>1143</v>
      </c>
      <c r="B409" s="4" t="s">
        <v>801</v>
      </c>
      <c r="C409" s="5">
        <f t="shared" si="187"/>
        <v>356</v>
      </c>
      <c r="D409" s="31"/>
      <c r="E409" s="33"/>
      <c r="F409" s="4" t="s">
        <v>689</v>
      </c>
      <c r="G409" s="4" t="s">
        <v>690</v>
      </c>
      <c r="H409" s="4">
        <v>14</v>
      </c>
      <c r="I409" s="4">
        <v>5</v>
      </c>
      <c r="J409" s="4">
        <v>0</v>
      </c>
      <c r="K409" s="4">
        <v>0</v>
      </c>
      <c r="L409" s="15">
        <f t="shared" si="185"/>
        <v>5</v>
      </c>
      <c r="M409" s="25" t="str">
        <f t="shared" si="186"/>
        <v/>
      </c>
      <c r="N409" s="27"/>
    </row>
    <row r="410" spans="1:14">
      <c r="A410" s="4" t="s">
        <v>1144</v>
      </c>
      <c r="B410" s="4" t="s">
        <v>798</v>
      </c>
      <c r="C410" s="5">
        <f t="shared" si="187"/>
        <v>357</v>
      </c>
      <c r="D410" s="31"/>
      <c r="E410" s="33"/>
      <c r="F410" s="4" t="s">
        <v>691</v>
      </c>
      <c r="G410" s="4" t="s">
        <v>692</v>
      </c>
      <c r="H410" s="4">
        <v>24</v>
      </c>
      <c r="I410" s="4">
        <v>4</v>
      </c>
      <c r="J410" s="4">
        <v>0</v>
      </c>
      <c r="K410" s="4">
        <v>0</v>
      </c>
      <c r="L410" s="15">
        <f t="shared" si="185"/>
        <v>4</v>
      </c>
      <c r="M410" s="25" t="str">
        <f t="shared" si="186"/>
        <v>Week Off</v>
      </c>
      <c r="N410" s="27"/>
    </row>
    <row r="411" spans="1:14">
      <c r="A411" s="4" t="s">
        <v>1145</v>
      </c>
      <c r="B411" s="4" t="s">
        <v>803</v>
      </c>
      <c r="C411" s="5">
        <f t="shared" si="187"/>
        <v>358</v>
      </c>
      <c r="D411" s="31"/>
      <c r="E411" s="33"/>
      <c r="F411" s="4" t="s">
        <v>693</v>
      </c>
      <c r="G411" s="4" t="s">
        <v>694</v>
      </c>
      <c r="H411" s="4">
        <v>1</v>
      </c>
      <c r="I411" s="4">
        <v>0</v>
      </c>
      <c r="J411" s="4">
        <v>0</v>
      </c>
      <c r="K411" s="4">
        <v>0</v>
      </c>
      <c r="L411" s="15">
        <f t="shared" si="185"/>
        <v>0</v>
      </c>
      <c r="M411" s="25" t="str">
        <f t="shared" si="186"/>
        <v/>
      </c>
      <c r="N411" s="27"/>
    </row>
    <row r="412" spans="1:14" ht="28.8">
      <c r="A412" s="4"/>
      <c r="B412" s="4"/>
      <c r="C412" s="5"/>
      <c r="D412" s="19"/>
      <c r="E412" s="6"/>
      <c r="F412" s="7" t="s">
        <v>32</v>
      </c>
      <c r="G412" s="7">
        <v>6</v>
      </c>
      <c r="H412" s="7">
        <f t="shared" ref="H412:L412" si="188">SUM(H406:H411)</f>
        <v>89</v>
      </c>
      <c r="I412" s="7">
        <f t="shared" si="188"/>
        <v>23</v>
      </c>
      <c r="J412" s="7">
        <f t="shared" si="188"/>
        <v>0</v>
      </c>
      <c r="K412" s="7">
        <f t="shared" si="188"/>
        <v>0</v>
      </c>
      <c r="L412" s="7">
        <f t="shared" si="188"/>
        <v>23</v>
      </c>
      <c r="M412" s="25"/>
      <c r="N412" s="27"/>
    </row>
    <row r="413" spans="1:14" ht="28.8">
      <c r="A413" s="4"/>
      <c r="B413" s="4"/>
      <c r="C413" s="5"/>
      <c r="D413" s="19"/>
      <c r="E413" s="8"/>
      <c r="F413" s="9" t="s">
        <v>121</v>
      </c>
      <c r="G413" s="9">
        <v>47</v>
      </c>
      <c r="H413" s="16">
        <f t="shared" ref="H413:L413" si="189">SUM(H412,H405,H391,H383,H379,H370)</f>
        <v>527</v>
      </c>
      <c r="I413" s="16">
        <f t="shared" si="189"/>
        <v>203</v>
      </c>
      <c r="J413" s="16">
        <f t="shared" si="189"/>
        <v>0</v>
      </c>
      <c r="K413" s="16">
        <f t="shared" si="189"/>
        <v>0</v>
      </c>
      <c r="L413" s="16">
        <f t="shared" si="189"/>
        <v>203</v>
      </c>
      <c r="M413" s="25"/>
      <c r="N413" s="4"/>
    </row>
    <row r="414" spans="1:14">
      <c r="A414" s="4" t="s">
        <v>1146</v>
      </c>
      <c r="B414" s="4" t="s">
        <v>803</v>
      </c>
      <c r="C414" s="5">
        <f>C411+1</f>
        <v>359</v>
      </c>
      <c r="D414" s="31" t="s">
        <v>695</v>
      </c>
      <c r="E414" s="32" t="s">
        <v>696</v>
      </c>
      <c r="F414" s="5" t="s">
        <v>10</v>
      </c>
      <c r="G414" s="5" t="s">
        <v>697</v>
      </c>
      <c r="H414" s="4">
        <v>6</v>
      </c>
      <c r="I414" s="4">
        <v>5</v>
      </c>
      <c r="J414" s="4">
        <v>0</v>
      </c>
      <c r="K414" s="4">
        <v>0</v>
      </c>
      <c r="L414" s="15">
        <f t="shared" ref="L414:L418" si="190">I414+J414+K414</f>
        <v>5</v>
      </c>
      <c r="M414" s="25" t="str">
        <f t="shared" ref="M414:M418" si="191">IFERROR(IF(TEXT(DATEVALUE(SUBSTITUTE(TRIM(MID($H$2,FIND("on",$H$2)+3,99)),"'","-")),"dddd")=B414,"Week Off",IF(H414="","",IF($H414=0,"Case Not Received",""))),"")</f>
        <v/>
      </c>
      <c r="N414" s="28">
        <f>(COUNTIF(I414:I418,"0"))/5</f>
        <v>0.2</v>
      </c>
    </row>
    <row r="415" spans="1:14">
      <c r="A415" s="4" t="s">
        <v>1147</v>
      </c>
      <c r="B415" s="4" t="s">
        <v>800</v>
      </c>
      <c r="C415" s="5">
        <f>C414+1</f>
        <v>360</v>
      </c>
      <c r="D415" s="31"/>
      <c r="E415" s="32"/>
      <c r="F415" s="5" t="s">
        <v>698</v>
      </c>
      <c r="G415" s="5" t="s">
        <v>699</v>
      </c>
      <c r="H415" s="4">
        <v>12</v>
      </c>
      <c r="I415" s="4">
        <v>7</v>
      </c>
      <c r="J415" s="4">
        <v>0</v>
      </c>
      <c r="K415" s="4">
        <v>0</v>
      </c>
      <c r="L415" s="15">
        <f t="shared" si="190"/>
        <v>7</v>
      </c>
      <c r="M415" s="25" t="str">
        <f t="shared" si="191"/>
        <v/>
      </c>
      <c r="N415" s="28"/>
    </row>
    <row r="416" spans="1:14">
      <c r="A416" s="4" t="s">
        <v>1148</v>
      </c>
      <c r="B416" s="4" t="s">
        <v>798</v>
      </c>
      <c r="C416" s="5">
        <f t="shared" ref="C416:C418" si="192">C415+1</f>
        <v>361</v>
      </c>
      <c r="D416" s="31"/>
      <c r="E416" s="32"/>
      <c r="F416" s="5" t="s">
        <v>700</v>
      </c>
      <c r="G416" s="5" t="s">
        <v>701</v>
      </c>
      <c r="H416" s="4">
        <v>3</v>
      </c>
      <c r="I416" s="4">
        <v>0</v>
      </c>
      <c r="J416" s="4">
        <v>0</v>
      </c>
      <c r="K416" s="4">
        <v>0</v>
      </c>
      <c r="L416" s="15">
        <f t="shared" si="190"/>
        <v>0</v>
      </c>
      <c r="M416" s="25" t="str">
        <f t="shared" si="191"/>
        <v>Week Off</v>
      </c>
      <c r="N416" s="28"/>
    </row>
    <row r="417" spans="1:14">
      <c r="A417" s="4" t="s">
        <v>1149</v>
      </c>
      <c r="B417" s="4" t="s">
        <v>797</v>
      </c>
      <c r="C417" s="5">
        <f t="shared" si="192"/>
        <v>362</v>
      </c>
      <c r="D417" s="31"/>
      <c r="E417" s="32"/>
      <c r="F417" s="5" t="s">
        <v>702</v>
      </c>
      <c r="G417" s="5" t="s">
        <v>703</v>
      </c>
      <c r="H417" s="4">
        <v>19</v>
      </c>
      <c r="I417" s="4">
        <v>8</v>
      </c>
      <c r="J417" s="4">
        <v>0</v>
      </c>
      <c r="K417" s="4">
        <v>0</v>
      </c>
      <c r="L417" s="15">
        <f t="shared" si="190"/>
        <v>8</v>
      </c>
      <c r="M417" s="25" t="str">
        <f t="shared" si="191"/>
        <v/>
      </c>
      <c r="N417" s="28"/>
    </row>
    <row r="418" spans="1:14">
      <c r="A418" s="4" t="s">
        <v>1150</v>
      </c>
      <c r="B418" s="4" t="s">
        <v>801</v>
      </c>
      <c r="C418" s="5">
        <f t="shared" si="192"/>
        <v>363</v>
      </c>
      <c r="D418" s="31"/>
      <c r="E418" s="32"/>
      <c r="F418" s="5" t="s">
        <v>704</v>
      </c>
      <c r="G418" s="5" t="s">
        <v>705</v>
      </c>
      <c r="H418" s="4">
        <v>13</v>
      </c>
      <c r="I418" s="4">
        <v>1</v>
      </c>
      <c r="J418" s="4">
        <v>0</v>
      </c>
      <c r="K418" s="4">
        <v>0</v>
      </c>
      <c r="L418" s="15">
        <f t="shared" si="190"/>
        <v>1</v>
      </c>
      <c r="M418" s="25" t="str">
        <f t="shared" si="191"/>
        <v/>
      </c>
      <c r="N418" s="28"/>
    </row>
    <row r="419" spans="1:14" ht="15.6">
      <c r="A419" s="4"/>
      <c r="B419" s="4"/>
      <c r="C419" s="5"/>
      <c r="D419" s="31"/>
      <c r="E419" s="6"/>
      <c r="F419" s="7" t="s">
        <v>32</v>
      </c>
      <c r="G419" s="7">
        <v>5</v>
      </c>
      <c r="H419" s="7">
        <f t="shared" ref="H419:L419" si="193">SUM(H414:H418)</f>
        <v>53</v>
      </c>
      <c r="I419" s="7">
        <f t="shared" si="193"/>
        <v>21</v>
      </c>
      <c r="J419" s="7">
        <f t="shared" si="193"/>
        <v>0</v>
      </c>
      <c r="K419" s="7">
        <f t="shared" si="193"/>
        <v>0</v>
      </c>
      <c r="L419" s="7">
        <f t="shared" si="193"/>
        <v>21</v>
      </c>
      <c r="M419" s="25"/>
      <c r="N419" s="28"/>
    </row>
    <row r="420" spans="1:14">
      <c r="A420" s="4" t="s">
        <v>1151</v>
      </c>
      <c r="B420" s="4" t="s">
        <v>803</v>
      </c>
      <c r="C420" s="5">
        <f>C418+1</f>
        <v>364</v>
      </c>
      <c r="D420" s="31"/>
      <c r="E420" s="32" t="s">
        <v>706</v>
      </c>
      <c r="F420" s="5" t="s">
        <v>10</v>
      </c>
      <c r="G420" s="5" t="s">
        <v>707</v>
      </c>
      <c r="H420" s="4">
        <v>4</v>
      </c>
      <c r="I420" s="4">
        <v>3</v>
      </c>
      <c r="J420" s="4">
        <v>0</v>
      </c>
      <c r="K420" s="4">
        <v>0</v>
      </c>
      <c r="L420" s="15">
        <f t="shared" ref="L420:L428" si="194">I420+J420+K420</f>
        <v>3</v>
      </c>
      <c r="M420" s="25" t="str">
        <f t="shared" ref="M420:M428" si="195">IFERROR(IF(TEXT(DATEVALUE(SUBSTITUTE(TRIM(MID($H$2,FIND("on",$H$2)+3,99)),"'","-")),"dddd")=B420,"Week Off",IF(H420="","",IF($H420=0,"Case Not Received",""))),"")</f>
        <v/>
      </c>
      <c r="N420" s="28">
        <f>(COUNTIF(I420:I428,"0"))/9</f>
        <v>0.33333333333333331</v>
      </c>
    </row>
    <row r="421" spans="1:14">
      <c r="A421" s="4" t="s">
        <v>1152</v>
      </c>
      <c r="B421" s="4" t="s">
        <v>797</v>
      </c>
      <c r="C421" s="5">
        <f t="shared" ref="C421:C428" si="196">C420+1</f>
        <v>365</v>
      </c>
      <c r="D421" s="31"/>
      <c r="E421" s="32"/>
      <c r="F421" s="5" t="s">
        <v>708</v>
      </c>
      <c r="G421" s="5" t="s">
        <v>709</v>
      </c>
      <c r="H421" s="4">
        <v>2</v>
      </c>
      <c r="I421" s="4">
        <v>1</v>
      </c>
      <c r="J421" s="4">
        <v>0</v>
      </c>
      <c r="K421" s="4">
        <v>0</v>
      </c>
      <c r="L421" s="15">
        <f t="shared" si="194"/>
        <v>1</v>
      </c>
      <c r="M421" s="25" t="str">
        <f t="shared" si="195"/>
        <v/>
      </c>
      <c r="N421" s="28"/>
    </row>
    <row r="422" spans="1:14">
      <c r="A422" s="23" t="s">
        <v>1198</v>
      </c>
      <c r="B422" s="4" t="s">
        <v>803</v>
      </c>
      <c r="C422" s="5">
        <f t="shared" si="196"/>
        <v>366</v>
      </c>
      <c r="D422" s="31"/>
      <c r="E422" s="32"/>
      <c r="F422" s="5" t="s">
        <v>710</v>
      </c>
      <c r="G422" s="5" t="s">
        <v>711</v>
      </c>
      <c r="H422" s="4">
        <v>5</v>
      </c>
      <c r="I422" s="4">
        <v>0</v>
      </c>
      <c r="J422" s="4">
        <v>0</v>
      </c>
      <c r="K422" s="4">
        <v>0</v>
      </c>
      <c r="L422" s="15">
        <f t="shared" si="194"/>
        <v>0</v>
      </c>
      <c r="M422" s="25" t="str">
        <f t="shared" si="195"/>
        <v/>
      </c>
      <c r="N422" s="28"/>
    </row>
    <row r="423" spans="1:14">
      <c r="A423" s="4" t="s">
        <v>1153</v>
      </c>
      <c r="B423" s="4" t="s">
        <v>797</v>
      </c>
      <c r="C423" s="5">
        <f t="shared" si="196"/>
        <v>367</v>
      </c>
      <c r="D423" s="31"/>
      <c r="E423" s="32"/>
      <c r="F423" s="5" t="s">
        <v>712</v>
      </c>
      <c r="G423" s="5" t="s">
        <v>713</v>
      </c>
      <c r="H423" s="4">
        <v>8</v>
      </c>
      <c r="I423" s="4">
        <v>5</v>
      </c>
      <c r="J423" s="4">
        <v>0</v>
      </c>
      <c r="K423" s="4">
        <v>0</v>
      </c>
      <c r="L423" s="15">
        <f t="shared" si="194"/>
        <v>5</v>
      </c>
      <c r="M423" s="25" t="str">
        <f t="shared" si="195"/>
        <v/>
      </c>
      <c r="N423" s="28"/>
    </row>
    <row r="424" spans="1:14">
      <c r="A424" s="4" t="s">
        <v>1154</v>
      </c>
      <c r="B424" s="4" t="s">
        <v>803</v>
      </c>
      <c r="C424" s="5">
        <f t="shared" si="196"/>
        <v>368</v>
      </c>
      <c r="D424" s="31"/>
      <c r="E424" s="32"/>
      <c r="F424" s="5" t="s">
        <v>714</v>
      </c>
      <c r="G424" s="5" t="s">
        <v>715</v>
      </c>
      <c r="H424" s="4">
        <v>5</v>
      </c>
      <c r="I424" s="4">
        <v>2</v>
      </c>
      <c r="J424" s="4">
        <v>0</v>
      </c>
      <c r="K424" s="4">
        <v>0</v>
      </c>
      <c r="L424" s="15">
        <f t="shared" si="194"/>
        <v>2</v>
      </c>
      <c r="M424" s="25" t="str">
        <f t="shared" si="195"/>
        <v/>
      </c>
      <c r="N424" s="28"/>
    </row>
    <row r="425" spans="1:14">
      <c r="A425" s="4" t="s">
        <v>1155</v>
      </c>
      <c r="B425" s="4" t="s">
        <v>799</v>
      </c>
      <c r="C425" s="5">
        <f t="shared" si="196"/>
        <v>369</v>
      </c>
      <c r="D425" s="31"/>
      <c r="E425" s="32"/>
      <c r="F425" s="5" t="s">
        <v>716</v>
      </c>
      <c r="G425" s="5" t="s">
        <v>717</v>
      </c>
      <c r="H425" s="4">
        <v>18</v>
      </c>
      <c r="I425" s="4">
        <v>0</v>
      </c>
      <c r="J425" s="4">
        <v>0</v>
      </c>
      <c r="K425" s="4">
        <v>0</v>
      </c>
      <c r="L425" s="15">
        <f t="shared" si="194"/>
        <v>0</v>
      </c>
      <c r="M425" s="25" t="str">
        <f t="shared" si="195"/>
        <v/>
      </c>
      <c r="N425" s="28"/>
    </row>
    <row r="426" spans="1:14">
      <c r="A426" s="4" t="s">
        <v>1156</v>
      </c>
      <c r="B426" s="4" t="s">
        <v>801</v>
      </c>
      <c r="C426" s="5">
        <f t="shared" si="196"/>
        <v>370</v>
      </c>
      <c r="D426" s="31"/>
      <c r="E426" s="32"/>
      <c r="F426" s="5" t="s">
        <v>718</v>
      </c>
      <c r="G426" s="5" t="s">
        <v>719</v>
      </c>
      <c r="H426" s="4">
        <v>6</v>
      </c>
      <c r="I426" s="4">
        <v>2</v>
      </c>
      <c r="J426" s="4">
        <v>0</v>
      </c>
      <c r="K426" s="4">
        <v>0</v>
      </c>
      <c r="L426" s="15">
        <f t="shared" si="194"/>
        <v>2</v>
      </c>
      <c r="M426" s="25" t="str">
        <f t="shared" si="195"/>
        <v/>
      </c>
      <c r="N426" s="28"/>
    </row>
    <row r="427" spans="1:14">
      <c r="A427" s="4" t="s">
        <v>1157</v>
      </c>
      <c r="B427" s="4" t="s">
        <v>799</v>
      </c>
      <c r="C427" s="5">
        <f t="shared" si="196"/>
        <v>371</v>
      </c>
      <c r="D427" s="31"/>
      <c r="E427" s="32"/>
      <c r="F427" s="5" t="s">
        <v>720</v>
      </c>
      <c r="G427" s="5" t="s">
        <v>721</v>
      </c>
      <c r="H427" s="4">
        <v>6</v>
      </c>
      <c r="I427" s="4">
        <v>1</v>
      </c>
      <c r="J427" s="4">
        <v>0</v>
      </c>
      <c r="K427" s="4">
        <v>0</v>
      </c>
      <c r="L427" s="15">
        <f t="shared" si="194"/>
        <v>1</v>
      </c>
      <c r="M427" s="25" t="str">
        <f t="shared" si="195"/>
        <v/>
      </c>
      <c r="N427" s="28"/>
    </row>
    <row r="428" spans="1:14">
      <c r="A428" s="4" t="s">
        <v>1158</v>
      </c>
      <c r="B428" s="4" t="s">
        <v>798</v>
      </c>
      <c r="C428" s="5">
        <f t="shared" si="196"/>
        <v>372</v>
      </c>
      <c r="D428" s="31"/>
      <c r="E428" s="32"/>
      <c r="F428" s="5" t="s">
        <v>722</v>
      </c>
      <c r="G428" s="5" t="s">
        <v>723</v>
      </c>
      <c r="H428" s="4">
        <v>2</v>
      </c>
      <c r="I428" s="4">
        <v>0</v>
      </c>
      <c r="J428" s="4">
        <v>0</v>
      </c>
      <c r="K428" s="4">
        <v>0</v>
      </c>
      <c r="L428" s="15">
        <f t="shared" si="194"/>
        <v>0</v>
      </c>
      <c r="M428" s="25" t="str">
        <f t="shared" si="195"/>
        <v>Week Off</v>
      </c>
      <c r="N428" s="28"/>
    </row>
    <row r="429" spans="1:14" ht="15.6">
      <c r="A429" s="4"/>
      <c r="B429" s="4"/>
      <c r="C429" s="5"/>
      <c r="D429" s="31"/>
      <c r="E429" s="6"/>
      <c r="F429" s="7" t="s">
        <v>32</v>
      </c>
      <c r="G429" s="7">
        <v>9</v>
      </c>
      <c r="H429" s="7">
        <f t="shared" ref="H429:L429" si="197">SUM(H420:H428)</f>
        <v>56</v>
      </c>
      <c r="I429" s="7">
        <f t="shared" si="197"/>
        <v>14</v>
      </c>
      <c r="J429" s="7">
        <f t="shared" si="197"/>
        <v>0</v>
      </c>
      <c r="K429" s="7">
        <f t="shared" si="197"/>
        <v>0</v>
      </c>
      <c r="L429" s="7">
        <f t="shared" si="197"/>
        <v>14</v>
      </c>
      <c r="M429" s="25"/>
      <c r="N429" s="28"/>
    </row>
    <row r="430" spans="1:14">
      <c r="A430" s="4" t="s">
        <v>1159</v>
      </c>
      <c r="B430" s="4" t="s">
        <v>801</v>
      </c>
      <c r="C430" s="5">
        <f>C428+1</f>
        <v>373</v>
      </c>
      <c r="D430" s="31"/>
      <c r="E430" s="32" t="s">
        <v>724</v>
      </c>
      <c r="F430" s="5" t="s">
        <v>10</v>
      </c>
      <c r="G430" s="5" t="s">
        <v>725</v>
      </c>
      <c r="H430" s="4">
        <v>8</v>
      </c>
      <c r="I430" s="4">
        <v>5</v>
      </c>
      <c r="J430" s="4">
        <v>0</v>
      </c>
      <c r="K430" s="4">
        <v>0</v>
      </c>
      <c r="L430" s="15">
        <f t="shared" ref="L430:L437" si="198">I430+J430+K430</f>
        <v>5</v>
      </c>
      <c r="M430" s="25" t="str">
        <f t="shared" ref="M430:M437" si="199">IFERROR(IF(TEXT(DATEVALUE(SUBSTITUTE(TRIM(MID($H$2,FIND("on",$H$2)+3,99)),"'","-")),"dddd")=B430,"Week Off",IF(H430="","",IF($H430=0,"Case Not Received",""))),"")</f>
        <v/>
      </c>
      <c r="N430" s="28">
        <f>(COUNTIF(I430:I437,"0"))/8</f>
        <v>0</v>
      </c>
    </row>
    <row r="431" spans="1:14">
      <c r="A431" s="4" t="s">
        <v>1160</v>
      </c>
      <c r="B431" s="4" t="s">
        <v>801</v>
      </c>
      <c r="C431" s="5">
        <f>C430+1</f>
        <v>374</v>
      </c>
      <c r="D431" s="31"/>
      <c r="E431" s="32"/>
      <c r="F431" s="5" t="s">
        <v>726</v>
      </c>
      <c r="G431" s="5" t="s">
        <v>727</v>
      </c>
      <c r="H431" s="4">
        <v>10</v>
      </c>
      <c r="I431" s="4">
        <v>6</v>
      </c>
      <c r="J431" s="4">
        <v>0</v>
      </c>
      <c r="K431" s="4">
        <v>0</v>
      </c>
      <c r="L431" s="15">
        <f t="shared" si="198"/>
        <v>6</v>
      </c>
      <c r="M431" s="25" t="str">
        <f t="shared" si="199"/>
        <v/>
      </c>
      <c r="N431" s="28"/>
    </row>
    <row r="432" spans="1:14">
      <c r="A432" s="4" t="s">
        <v>1161</v>
      </c>
      <c r="B432" s="4" t="s">
        <v>801</v>
      </c>
      <c r="C432" s="5">
        <f t="shared" ref="C432:C437" si="200">C431+1</f>
        <v>375</v>
      </c>
      <c r="D432" s="31"/>
      <c r="E432" s="32"/>
      <c r="F432" s="5" t="s">
        <v>728</v>
      </c>
      <c r="G432" s="5" t="s">
        <v>729</v>
      </c>
      <c r="H432" s="4">
        <v>9</v>
      </c>
      <c r="I432" s="4">
        <v>8</v>
      </c>
      <c r="J432" s="4">
        <v>0</v>
      </c>
      <c r="K432" s="4">
        <v>0</v>
      </c>
      <c r="L432" s="15">
        <f t="shared" si="198"/>
        <v>8</v>
      </c>
      <c r="M432" s="25" t="str">
        <f t="shared" si="199"/>
        <v/>
      </c>
      <c r="N432" s="28"/>
    </row>
    <row r="433" spans="1:14">
      <c r="A433" s="4" t="s">
        <v>1162</v>
      </c>
      <c r="B433" s="4" t="s">
        <v>800</v>
      </c>
      <c r="C433" s="5">
        <f t="shared" si="200"/>
        <v>376</v>
      </c>
      <c r="D433" s="31"/>
      <c r="E433" s="32"/>
      <c r="F433" s="5" t="s">
        <v>728</v>
      </c>
      <c r="G433" s="5" t="s">
        <v>730</v>
      </c>
      <c r="H433" s="4">
        <v>8</v>
      </c>
      <c r="I433" s="4">
        <v>5</v>
      </c>
      <c r="J433" s="4">
        <v>0</v>
      </c>
      <c r="K433" s="4">
        <v>0</v>
      </c>
      <c r="L433" s="15">
        <f t="shared" si="198"/>
        <v>5</v>
      </c>
      <c r="M433" s="25" t="str">
        <f t="shared" si="199"/>
        <v/>
      </c>
      <c r="N433" s="28"/>
    </row>
    <row r="434" spans="1:14">
      <c r="A434" s="4" t="s">
        <v>1163</v>
      </c>
      <c r="B434" s="4" t="s">
        <v>800</v>
      </c>
      <c r="C434" s="5">
        <f t="shared" si="200"/>
        <v>377</v>
      </c>
      <c r="D434" s="31"/>
      <c r="E434" s="32"/>
      <c r="F434" s="5" t="s">
        <v>731</v>
      </c>
      <c r="G434" s="5" t="s">
        <v>732</v>
      </c>
      <c r="H434" s="4">
        <v>8</v>
      </c>
      <c r="I434" s="4">
        <v>3</v>
      </c>
      <c r="J434" s="4">
        <v>0</v>
      </c>
      <c r="K434" s="4">
        <v>0</v>
      </c>
      <c r="L434" s="15">
        <f t="shared" si="198"/>
        <v>3</v>
      </c>
      <c r="M434" s="25" t="str">
        <f t="shared" si="199"/>
        <v/>
      </c>
      <c r="N434" s="28"/>
    </row>
    <row r="435" spans="1:14">
      <c r="A435" s="4" t="s">
        <v>1164</v>
      </c>
      <c r="B435" s="4" t="s">
        <v>800</v>
      </c>
      <c r="C435" s="5">
        <f t="shared" si="200"/>
        <v>378</v>
      </c>
      <c r="D435" s="31"/>
      <c r="E435" s="32"/>
      <c r="F435" s="5" t="s">
        <v>733</v>
      </c>
      <c r="G435" s="5" t="s">
        <v>734</v>
      </c>
      <c r="H435" s="4">
        <v>7</v>
      </c>
      <c r="I435" s="4">
        <v>6</v>
      </c>
      <c r="J435" s="4">
        <v>0</v>
      </c>
      <c r="K435" s="4">
        <v>0</v>
      </c>
      <c r="L435" s="15">
        <f t="shared" si="198"/>
        <v>6</v>
      </c>
      <c r="M435" s="25" t="str">
        <f t="shared" si="199"/>
        <v/>
      </c>
      <c r="N435" s="28"/>
    </row>
    <row r="436" spans="1:14">
      <c r="A436" s="4" t="s">
        <v>1165</v>
      </c>
      <c r="B436" s="4" t="s">
        <v>801</v>
      </c>
      <c r="C436" s="5">
        <f t="shared" si="200"/>
        <v>379</v>
      </c>
      <c r="D436" s="31"/>
      <c r="E436" s="32"/>
      <c r="F436" s="5" t="s">
        <v>735</v>
      </c>
      <c r="G436" s="5" t="s">
        <v>736</v>
      </c>
      <c r="H436" s="4">
        <v>6</v>
      </c>
      <c r="I436" s="4">
        <v>5</v>
      </c>
      <c r="J436" s="4">
        <v>0</v>
      </c>
      <c r="K436" s="4">
        <v>0</v>
      </c>
      <c r="L436" s="15">
        <f t="shared" si="198"/>
        <v>5</v>
      </c>
      <c r="M436" s="25" t="str">
        <f t="shared" si="199"/>
        <v/>
      </c>
      <c r="N436" s="28"/>
    </row>
    <row r="437" spans="1:14">
      <c r="A437" s="4" t="s">
        <v>1166</v>
      </c>
      <c r="B437" s="4" t="s">
        <v>800</v>
      </c>
      <c r="C437" s="5">
        <f t="shared" si="200"/>
        <v>380</v>
      </c>
      <c r="D437" s="31"/>
      <c r="E437" s="32"/>
      <c r="F437" s="5" t="s">
        <v>735</v>
      </c>
      <c r="G437" s="5" t="s">
        <v>791</v>
      </c>
      <c r="H437" s="4">
        <v>8</v>
      </c>
      <c r="I437" s="4">
        <v>8</v>
      </c>
      <c r="J437" s="4">
        <v>0</v>
      </c>
      <c r="K437" s="4">
        <v>0</v>
      </c>
      <c r="L437" s="15">
        <f t="shared" si="198"/>
        <v>8</v>
      </c>
      <c r="M437" s="25" t="str">
        <f t="shared" si="199"/>
        <v/>
      </c>
      <c r="N437" s="28"/>
    </row>
    <row r="438" spans="1:14" ht="15.6">
      <c r="A438" s="4"/>
      <c r="B438" s="4"/>
      <c r="C438" s="5"/>
      <c r="D438" s="31"/>
      <c r="E438" s="6"/>
      <c r="F438" s="7" t="s">
        <v>32</v>
      </c>
      <c r="G438" s="7">
        <v>8</v>
      </c>
      <c r="H438" s="7">
        <f t="shared" ref="H438:L438" si="201">SUM(H430:H437)</f>
        <v>64</v>
      </c>
      <c r="I438" s="7">
        <f t="shared" si="201"/>
        <v>46</v>
      </c>
      <c r="J438" s="7">
        <f t="shared" si="201"/>
        <v>0</v>
      </c>
      <c r="K438" s="7">
        <f t="shared" si="201"/>
        <v>0</v>
      </c>
      <c r="L438" s="7">
        <f t="shared" si="201"/>
        <v>46</v>
      </c>
      <c r="M438" s="25"/>
      <c r="N438" s="28"/>
    </row>
    <row r="439" spans="1:14">
      <c r="A439" s="4" t="s">
        <v>1167</v>
      </c>
      <c r="B439" s="4" t="s">
        <v>802</v>
      </c>
      <c r="C439" s="5">
        <f>C437+1</f>
        <v>381</v>
      </c>
      <c r="D439" s="31"/>
      <c r="E439" s="33" t="s">
        <v>737</v>
      </c>
      <c r="F439" s="4" t="s">
        <v>10</v>
      </c>
      <c r="G439" s="4" t="s">
        <v>738</v>
      </c>
      <c r="H439" s="4">
        <v>6</v>
      </c>
      <c r="I439" s="4">
        <v>4</v>
      </c>
      <c r="J439" s="4">
        <v>0</v>
      </c>
      <c r="K439" s="4">
        <v>0</v>
      </c>
      <c r="L439" s="15">
        <f t="shared" ref="L439:L444" si="202">I439+J439+K439</f>
        <v>4</v>
      </c>
      <c r="M439" s="25" t="str">
        <f t="shared" ref="M439:M444" si="203">IFERROR(IF(TEXT(DATEVALUE(SUBSTITUTE(TRIM(MID($H$2,FIND("on",$H$2)+3,99)),"'","-")),"dddd")=B439,"Week Off",IF(H439="","",IF($H439=0,"Case Not Received",""))),"")</f>
        <v/>
      </c>
      <c r="N439" s="27">
        <f>(COUNTIF(I439:I444,"0"))/6</f>
        <v>0.16666666666666666</v>
      </c>
    </row>
    <row r="440" spans="1:14">
      <c r="A440" s="4" t="s">
        <v>1168</v>
      </c>
      <c r="B440" s="4" t="s">
        <v>803</v>
      </c>
      <c r="C440" s="5">
        <f t="shared" ref="C440:C444" si="204">C439+1</f>
        <v>382</v>
      </c>
      <c r="D440" s="31"/>
      <c r="E440" s="33"/>
      <c r="F440" s="4" t="s">
        <v>739</v>
      </c>
      <c r="G440" s="4" t="s">
        <v>740</v>
      </c>
      <c r="H440" s="4">
        <v>6</v>
      </c>
      <c r="I440" s="4">
        <v>6</v>
      </c>
      <c r="J440" s="4">
        <v>0</v>
      </c>
      <c r="K440" s="4">
        <v>0</v>
      </c>
      <c r="L440" s="15">
        <f t="shared" si="202"/>
        <v>6</v>
      </c>
      <c r="M440" s="25" t="str">
        <f t="shared" si="203"/>
        <v/>
      </c>
      <c r="N440" s="27"/>
    </row>
    <row r="441" spans="1:14">
      <c r="A441" s="4" t="s">
        <v>1169</v>
      </c>
      <c r="B441" s="4" t="s">
        <v>802</v>
      </c>
      <c r="C441" s="5">
        <f t="shared" si="204"/>
        <v>383</v>
      </c>
      <c r="D441" s="31"/>
      <c r="E441" s="33"/>
      <c r="F441" s="4" t="s">
        <v>739</v>
      </c>
      <c r="G441" s="4" t="s">
        <v>741</v>
      </c>
      <c r="H441" s="4">
        <v>9</v>
      </c>
      <c r="I441" s="4">
        <v>5</v>
      </c>
      <c r="J441" s="4">
        <v>0</v>
      </c>
      <c r="K441" s="4">
        <v>0</v>
      </c>
      <c r="L441" s="15">
        <f t="shared" si="202"/>
        <v>5</v>
      </c>
      <c r="M441" s="25" t="str">
        <f t="shared" si="203"/>
        <v/>
      </c>
      <c r="N441" s="27"/>
    </row>
    <row r="442" spans="1:14">
      <c r="A442" s="4" t="s">
        <v>1171</v>
      </c>
      <c r="B442" s="4" t="s">
        <v>802</v>
      </c>
      <c r="C442" s="5">
        <f t="shared" si="204"/>
        <v>384</v>
      </c>
      <c r="D442" s="31"/>
      <c r="E442" s="33"/>
      <c r="F442" s="4" t="s">
        <v>742</v>
      </c>
      <c r="G442" s="4" t="s">
        <v>743</v>
      </c>
      <c r="H442" s="4">
        <v>7</v>
      </c>
      <c r="I442" s="4">
        <v>4</v>
      </c>
      <c r="J442" s="4">
        <v>0</v>
      </c>
      <c r="K442" s="4">
        <v>0</v>
      </c>
      <c r="L442" s="15">
        <f t="shared" si="202"/>
        <v>4</v>
      </c>
      <c r="M442" s="25" t="str">
        <f t="shared" si="203"/>
        <v/>
      </c>
      <c r="N442" s="27"/>
    </row>
    <row r="443" spans="1:14">
      <c r="A443" s="4" t="s">
        <v>1170</v>
      </c>
      <c r="B443" s="4" t="s">
        <v>803</v>
      </c>
      <c r="C443" s="5">
        <f t="shared" si="204"/>
        <v>385</v>
      </c>
      <c r="D443" s="31"/>
      <c r="E443" s="33"/>
      <c r="F443" s="4" t="s">
        <v>742</v>
      </c>
      <c r="G443" s="4" t="s">
        <v>744</v>
      </c>
      <c r="H443" s="4">
        <v>3</v>
      </c>
      <c r="I443" s="4">
        <v>0</v>
      </c>
      <c r="J443" s="4">
        <v>0</v>
      </c>
      <c r="K443" s="4">
        <v>0</v>
      </c>
      <c r="L443" s="15">
        <f t="shared" si="202"/>
        <v>0</v>
      </c>
      <c r="M443" s="25" t="str">
        <f t="shared" si="203"/>
        <v/>
      </c>
      <c r="N443" s="27"/>
    </row>
    <row r="444" spans="1:14">
      <c r="A444" s="4" t="s">
        <v>1172</v>
      </c>
      <c r="B444" s="4" t="s">
        <v>803</v>
      </c>
      <c r="C444" s="5">
        <f t="shared" si="204"/>
        <v>386</v>
      </c>
      <c r="D444" s="31"/>
      <c r="E444" s="33"/>
      <c r="F444" s="4" t="s">
        <v>745</v>
      </c>
      <c r="G444" s="4" t="s">
        <v>746</v>
      </c>
      <c r="H444" s="4">
        <v>6</v>
      </c>
      <c r="I444" s="4">
        <v>4</v>
      </c>
      <c r="J444" s="4">
        <v>0</v>
      </c>
      <c r="K444" s="4">
        <v>0</v>
      </c>
      <c r="L444" s="15">
        <f t="shared" si="202"/>
        <v>4</v>
      </c>
      <c r="M444" s="25" t="str">
        <f t="shared" si="203"/>
        <v/>
      </c>
      <c r="N444" s="27"/>
    </row>
    <row r="445" spans="1:14" ht="15.6">
      <c r="A445" s="4"/>
      <c r="B445" s="4"/>
      <c r="C445" s="5"/>
      <c r="D445" s="31"/>
      <c r="E445" s="6"/>
      <c r="F445" s="7" t="s">
        <v>32</v>
      </c>
      <c r="G445" s="7">
        <v>6</v>
      </c>
      <c r="H445" s="7">
        <f t="shared" ref="H445:L445" si="205">SUM(H439:H444)</f>
        <v>37</v>
      </c>
      <c r="I445" s="7">
        <f t="shared" si="205"/>
        <v>23</v>
      </c>
      <c r="J445" s="7">
        <f t="shared" si="205"/>
        <v>0</v>
      </c>
      <c r="K445" s="7">
        <f t="shared" si="205"/>
        <v>0</v>
      </c>
      <c r="L445" s="7">
        <f t="shared" si="205"/>
        <v>23</v>
      </c>
      <c r="M445" s="25"/>
      <c r="N445" s="27"/>
    </row>
    <row r="446" spans="1:14">
      <c r="A446" s="4" t="s">
        <v>1173</v>
      </c>
      <c r="B446" s="4" t="s">
        <v>803</v>
      </c>
      <c r="C446" s="5">
        <f>C444+1</f>
        <v>387</v>
      </c>
      <c r="D446" s="31"/>
      <c r="E446" s="32" t="s">
        <v>747</v>
      </c>
      <c r="F446" s="5" t="s">
        <v>10</v>
      </c>
      <c r="G446" s="5" t="s">
        <v>748</v>
      </c>
      <c r="H446" s="4">
        <v>2</v>
      </c>
      <c r="I446" s="4">
        <v>2</v>
      </c>
      <c r="J446" s="4">
        <v>0</v>
      </c>
      <c r="K446" s="4">
        <v>0</v>
      </c>
      <c r="L446" s="15">
        <f t="shared" ref="L446:L452" si="206">I446+J446+K446</f>
        <v>2</v>
      </c>
      <c r="M446" s="25" t="str">
        <f t="shared" ref="M446:M452" si="207">IFERROR(IF(TEXT(DATEVALUE(SUBSTITUTE(TRIM(MID($H$2,FIND("on",$H$2)+3,99)),"'","-")),"dddd")=B446,"Week Off",IF(H446="","",IF($H446=0,"Case Not Received",""))),"")</f>
        <v/>
      </c>
      <c r="N446" s="28">
        <f>(COUNTIF(I446:I452,"0"))/7</f>
        <v>0.14285714285714285</v>
      </c>
    </row>
    <row r="447" spans="1:14">
      <c r="A447" s="4" t="s">
        <v>1174</v>
      </c>
      <c r="B447" s="4" t="s">
        <v>799</v>
      </c>
      <c r="C447" s="5">
        <f>C446+1</f>
        <v>388</v>
      </c>
      <c r="D447" s="31"/>
      <c r="E447" s="32"/>
      <c r="F447" s="5" t="s">
        <v>749</v>
      </c>
      <c r="G447" s="5" t="s">
        <v>750</v>
      </c>
      <c r="H447" s="4">
        <v>8</v>
      </c>
      <c r="I447" s="4">
        <v>6</v>
      </c>
      <c r="J447" s="4">
        <v>0</v>
      </c>
      <c r="K447" s="4">
        <v>0</v>
      </c>
      <c r="L447" s="15">
        <f t="shared" si="206"/>
        <v>6</v>
      </c>
      <c r="M447" s="25" t="str">
        <f t="shared" si="207"/>
        <v/>
      </c>
      <c r="N447" s="28"/>
    </row>
    <row r="448" spans="1:14">
      <c r="A448" s="4" t="s">
        <v>1175</v>
      </c>
      <c r="B448" s="4" t="s">
        <v>801</v>
      </c>
      <c r="C448" s="5">
        <f t="shared" ref="C448:C452" si="208">C447+1</f>
        <v>389</v>
      </c>
      <c r="D448" s="31"/>
      <c r="E448" s="32"/>
      <c r="F448" s="5" t="s">
        <v>751</v>
      </c>
      <c r="G448" s="5" t="s">
        <v>752</v>
      </c>
      <c r="H448" s="4">
        <v>10</v>
      </c>
      <c r="I448" s="4">
        <v>8</v>
      </c>
      <c r="J448" s="4">
        <v>0</v>
      </c>
      <c r="K448" s="4">
        <v>0</v>
      </c>
      <c r="L448" s="15">
        <f t="shared" si="206"/>
        <v>8</v>
      </c>
      <c r="M448" s="25" t="str">
        <f t="shared" si="207"/>
        <v/>
      </c>
      <c r="N448" s="28"/>
    </row>
    <row r="449" spans="1:14">
      <c r="A449" s="4" t="s">
        <v>1176</v>
      </c>
      <c r="B449" s="4" t="s">
        <v>797</v>
      </c>
      <c r="C449" s="5">
        <f t="shared" si="208"/>
        <v>390</v>
      </c>
      <c r="D449" s="31"/>
      <c r="E449" s="32"/>
      <c r="F449" s="5" t="s">
        <v>753</v>
      </c>
      <c r="G449" s="5" t="s">
        <v>754</v>
      </c>
      <c r="H449" s="4">
        <v>8</v>
      </c>
      <c r="I449" s="4">
        <v>0</v>
      </c>
      <c r="J449" s="4">
        <v>0</v>
      </c>
      <c r="K449" s="4">
        <v>0</v>
      </c>
      <c r="L449" s="15">
        <f t="shared" si="206"/>
        <v>0</v>
      </c>
      <c r="M449" s="25" t="str">
        <f t="shared" si="207"/>
        <v/>
      </c>
      <c r="N449" s="28"/>
    </row>
    <row r="450" spans="1:14">
      <c r="A450" s="4" t="s">
        <v>1177</v>
      </c>
      <c r="B450" s="4" t="s">
        <v>798</v>
      </c>
      <c r="C450" s="5">
        <f t="shared" si="208"/>
        <v>391</v>
      </c>
      <c r="D450" s="31"/>
      <c r="E450" s="32"/>
      <c r="F450" s="5" t="s">
        <v>755</v>
      </c>
      <c r="G450" s="5" t="s">
        <v>756</v>
      </c>
      <c r="H450" s="4">
        <v>5</v>
      </c>
      <c r="I450" s="4">
        <v>3</v>
      </c>
      <c r="J450" s="4">
        <v>0</v>
      </c>
      <c r="K450" s="4">
        <v>0</v>
      </c>
      <c r="L450" s="15">
        <f t="shared" si="206"/>
        <v>3</v>
      </c>
      <c r="M450" s="25" t="str">
        <f t="shared" si="207"/>
        <v>Week Off</v>
      </c>
      <c r="N450" s="28"/>
    </row>
    <row r="451" spans="1:14">
      <c r="A451" s="4" t="s">
        <v>1178</v>
      </c>
      <c r="B451" s="4" t="s">
        <v>802</v>
      </c>
      <c r="C451" s="5">
        <f t="shared" si="208"/>
        <v>392</v>
      </c>
      <c r="D451" s="31"/>
      <c r="E451" s="32"/>
      <c r="F451" s="5" t="s">
        <v>757</v>
      </c>
      <c r="G451" s="5" t="s">
        <v>758</v>
      </c>
      <c r="H451" s="4">
        <v>7</v>
      </c>
      <c r="I451" s="4">
        <v>5</v>
      </c>
      <c r="J451" s="4">
        <v>0</v>
      </c>
      <c r="K451" s="4">
        <v>0</v>
      </c>
      <c r="L451" s="15">
        <f t="shared" si="206"/>
        <v>5</v>
      </c>
      <c r="M451" s="25" t="str">
        <f t="shared" si="207"/>
        <v/>
      </c>
      <c r="N451" s="28"/>
    </row>
    <row r="452" spans="1:14">
      <c r="A452" s="4" t="s">
        <v>1179</v>
      </c>
      <c r="B452" s="4" t="s">
        <v>800</v>
      </c>
      <c r="C452" s="5">
        <f t="shared" si="208"/>
        <v>393</v>
      </c>
      <c r="D452" s="31"/>
      <c r="E452" s="32"/>
      <c r="F452" s="5" t="s">
        <v>759</v>
      </c>
      <c r="G452" s="5" t="s">
        <v>760</v>
      </c>
      <c r="H452" s="4">
        <v>6</v>
      </c>
      <c r="I452" s="4">
        <v>3</v>
      </c>
      <c r="J452" s="4">
        <v>0</v>
      </c>
      <c r="K452" s="4">
        <v>0</v>
      </c>
      <c r="L452" s="15">
        <f t="shared" si="206"/>
        <v>3</v>
      </c>
      <c r="M452" s="25" t="str">
        <f t="shared" si="207"/>
        <v/>
      </c>
      <c r="N452" s="28"/>
    </row>
    <row r="453" spans="1:14" ht="15.6">
      <c r="A453" s="4"/>
      <c r="B453" s="4"/>
      <c r="C453" s="5"/>
      <c r="D453" s="31"/>
      <c r="E453" s="6"/>
      <c r="F453" s="7" t="s">
        <v>32</v>
      </c>
      <c r="G453" s="7">
        <v>7</v>
      </c>
      <c r="H453" s="7">
        <f t="shared" ref="H453:L453" si="209">SUM(H446:H452)</f>
        <v>46</v>
      </c>
      <c r="I453" s="7">
        <f t="shared" si="209"/>
        <v>27</v>
      </c>
      <c r="J453" s="7">
        <f t="shared" si="209"/>
        <v>0</v>
      </c>
      <c r="K453" s="7">
        <f t="shared" si="209"/>
        <v>0</v>
      </c>
      <c r="L453" s="7">
        <f t="shared" si="209"/>
        <v>27</v>
      </c>
      <c r="M453" s="25"/>
      <c r="N453" s="28"/>
    </row>
    <row r="454" spans="1:14">
      <c r="A454" s="4" t="s">
        <v>1180</v>
      </c>
      <c r="B454" s="4" t="s">
        <v>799</v>
      </c>
      <c r="C454" s="5">
        <f>C452+1</f>
        <v>394</v>
      </c>
      <c r="D454" s="31"/>
      <c r="E454" s="33" t="s">
        <v>761</v>
      </c>
      <c r="F454" s="4" t="s">
        <v>10</v>
      </c>
      <c r="G454" s="4" t="s">
        <v>762</v>
      </c>
      <c r="H454" s="4">
        <v>10</v>
      </c>
      <c r="I454" s="4">
        <v>7</v>
      </c>
      <c r="J454" s="4">
        <v>0</v>
      </c>
      <c r="K454" s="4">
        <v>0</v>
      </c>
      <c r="L454" s="15">
        <f t="shared" ref="L454:L458" si="210">I454+J454+K454</f>
        <v>7</v>
      </c>
      <c r="M454" s="25" t="str">
        <f t="shared" ref="M454:M458" si="211">IFERROR(IF(TEXT(DATEVALUE(SUBSTITUTE(TRIM(MID($H$2,FIND("on",$H$2)+3,99)),"'","-")),"dddd")=B454,"Week Off",IF(H454="","",IF($H454=0,"Case Not Received",""))),"")</f>
        <v/>
      </c>
      <c r="N454" s="27">
        <f>(COUNTIF(I454:I458,"0"))/5</f>
        <v>0.2</v>
      </c>
    </row>
    <row r="455" spans="1:14">
      <c r="A455" s="4" t="s">
        <v>1181</v>
      </c>
      <c r="B455" s="4" t="s">
        <v>797</v>
      </c>
      <c r="C455" s="5">
        <f>C454+1</f>
        <v>395</v>
      </c>
      <c r="D455" s="31"/>
      <c r="E455" s="33"/>
      <c r="F455" s="4" t="s">
        <v>763</v>
      </c>
      <c r="G455" s="4" t="s">
        <v>764</v>
      </c>
      <c r="H455" s="4">
        <v>4</v>
      </c>
      <c r="I455" s="4">
        <v>4</v>
      </c>
      <c r="J455" s="4">
        <v>0</v>
      </c>
      <c r="K455" s="4">
        <v>0</v>
      </c>
      <c r="L455" s="15">
        <f t="shared" si="210"/>
        <v>4</v>
      </c>
      <c r="M455" s="25" t="str">
        <f t="shared" si="211"/>
        <v/>
      </c>
      <c r="N455" s="27"/>
    </row>
    <row r="456" spans="1:14">
      <c r="A456" s="4" t="s">
        <v>1182</v>
      </c>
      <c r="B456" s="4" t="s">
        <v>801</v>
      </c>
      <c r="C456" s="5">
        <f t="shared" ref="C456:C458" si="212">C455+1</f>
        <v>396</v>
      </c>
      <c r="D456" s="31"/>
      <c r="E456" s="33"/>
      <c r="F456" s="4" t="s">
        <v>765</v>
      </c>
      <c r="G456" s="4" t="s">
        <v>766</v>
      </c>
      <c r="H456" s="4">
        <v>7</v>
      </c>
      <c r="I456" s="4">
        <v>4</v>
      </c>
      <c r="J456" s="4">
        <v>0</v>
      </c>
      <c r="K456" s="4">
        <v>0</v>
      </c>
      <c r="L456" s="15">
        <f t="shared" si="210"/>
        <v>4</v>
      </c>
      <c r="M456" s="25" t="str">
        <f t="shared" si="211"/>
        <v/>
      </c>
      <c r="N456" s="27"/>
    </row>
    <row r="457" spans="1:14">
      <c r="A457" s="4" t="s">
        <v>1183</v>
      </c>
      <c r="B457" s="4" t="s">
        <v>798</v>
      </c>
      <c r="C457" s="5">
        <f t="shared" si="212"/>
        <v>397</v>
      </c>
      <c r="D457" s="31"/>
      <c r="E457" s="33"/>
      <c r="F457" s="4" t="s">
        <v>767</v>
      </c>
      <c r="G457" s="4" t="s">
        <v>768</v>
      </c>
      <c r="H457" s="4">
        <v>0</v>
      </c>
      <c r="I457" s="4">
        <v>0</v>
      </c>
      <c r="J457" s="4">
        <v>0</v>
      </c>
      <c r="K457" s="4">
        <v>0</v>
      </c>
      <c r="L457" s="15">
        <f t="shared" si="210"/>
        <v>0</v>
      </c>
      <c r="M457" s="25" t="str">
        <f t="shared" si="211"/>
        <v>Week Off</v>
      </c>
      <c r="N457" s="27"/>
    </row>
    <row r="458" spans="1:14">
      <c r="A458" s="4" t="s">
        <v>1184</v>
      </c>
      <c r="B458" s="4" t="s">
        <v>802</v>
      </c>
      <c r="C458" s="5">
        <f t="shared" si="212"/>
        <v>398</v>
      </c>
      <c r="D458" s="31"/>
      <c r="E458" s="33"/>
      <c r="F458" s="4" t="s">
        <v>769</v>
      </c>
      <c r="G458" s="4" t="s">
        <v>770</v>
      </c>
      <c r="H458" s="4">
        <v>5</v>
      </c>
      <c r="I458" s="4">
        <v>4</v>
      </c>
      <c r="J458" s="4">
        <v>0</v>
      </c>
      <c r="K458" s="4">
        <v>0</v>
      </c>
      <c r="L458" s="15">
        <f t="shared" si="210"/>
        <v>4</v>
      </c>
      <c r="M458" s="25" t="str">
        <f t="shared" si="211"/>
        <v/>
      </c>
      <c r="N458" s="27"/>
    </row>
    <row r="459" spans="1:14" ht="15.6">
      <c r="A459" s="4"/>
      <c r="B459" s="4"/>
      <c r="C459" s="5"/>
      <c r="D459" s="31"/>
      <c r="E459" s="6"/>
      <c r="F459" s="7" t="s">
        <v>32</v>
      </c>
      <c r="G459" s="7">
        <v>5</v>
      </c>
      <c r="H459" s="7">
        <f t="shared" ref="H459:L459" si="213">SUM(H454:H458)</f>
        <v>26</v>
      </c>
      <c r="I459" s="7">
        <f t="shared" si="213"/>
        <v>19</v>
      </c>
      <c r="J459" s="7">
        <f t="shared" si="213"/>
        <v>0</v>
      </c>
      <c r="K459" s="7">
        <f t="shared" si="213"/>
        <v>0</v>
      </c>
      <c r="L459" s="7">
        <f t="shared" si="213"/>
        <v>19</v>
      </c>
      <c r="M459" s="25"/>
      <c r="N459" s="27"/>
    </row>
    <row r="460" spans="1:14">
      <c r="A460" s="4" t="s">
        <v>1185</v>
      </c>
      <c r="B460" s="4" t="s">
        <v>799</v>
      </c>
      <c r="C460" s="5">
        <f>C458+1</f>
        <v>399</v>
      </c>
      <c r="D460" s="31"/>
      <c r="E460" s="32" t="s">
        <v>695</v>
      </c>
      <c r="F460" s="5" t="s">
        <v>10</v>
      </c>
      <c r="G460" s="5" t="s">
        <v>771</v>
      </c>
      <c r="H460" s="4">
        <v>5</v>
      </c>
      <c r="I460" s="4">
        <v>3</v>
      </c>
      <c r="J460" s="4">
        <v>0</v>
      </c>
      <c r="K460" s="4">
        <v>0</v>
      </c>
      <c r="L460" s="15">
        <f t="shared" ref="L460:L467" si="214">I460+J460+K460</f>
        <v>3</v>
      </c>
      <c r="M460" s="25" t="str">
        <f t="shared" ref="M460:M467" si="215">IFERROR(IF(TEXT(DATEVALUE(SUBSTITUTE(TRIM(MID($H$2,FIND("on",$H$2)+3,99)),"'","-")),"dddd")=B460,"Week Off",IF(H460="","",IF($H460=0,"Case Not Received",""))),"")</f>
        <v/>
      </c>
      <c r="N460" s="28">
        <f>(COUNTIF(I460:I467,"0"))/8</f>
        <v>0.25</v>
      </c>
    </row>
    <row r="461" spans="1:14">
      <c r="A461" s="4" t="s">
        <v>1186</v>
      </c>
      <c r="B461" s="4" t="s">
        <v>798</v>
      </c>
      <c r="C461" s="5">
        <f>C460+1</f>
        <v>400</v>
      </c>
      <c r="D461" s="31"/>
      <c r="E461" s="32"/>
      <c r="F461" s="5" t="s">
        <v>772</v>
      </c>
      <c r="G461" s="5" t="s">
        <v>773</v>
      </c>
      <c r="H461" s="4">
        <v>1</v>
      </c>
      <c r="I461" s="4">
        <v>0</v>
      </c>
      <c r="J461" s="4">
        <v>0</v>
      </c>
      <c r="K461" s="4">
        <v>0</v>
      </c>
      <c r="L461" s="15">
        <f t="shared" si="214"/>
        <v>0</v>
      </c>
      <c r="M461" s="25" t="str">
        <f t="shared" si="215"/>
        <v>Week Off</v>
      </c>
      <c r="N461" s="28"/>
    </row>
    <row r="462" spans="1:14">
      <c r="A462" s="4" t="s">
        <v>1187</v>
      </c>
      <c r="B462" s="4" t="s">
        <v>802</v>
      </c>
      <c r="C462" s="5">
        <f t="shared" ref="C462:C467" si="216">C461+1</f>
        <v>401</v>
      </c>
      <c r="D462" s="31"/>
      <c r="E462" s="32"/>
      <c r="F462" s="5" t="s">
        <v>774</v>
      </c>
      <c r="G462" s="5" t="s">
        <v>775</v>
      </c>
      <c r="H462" s="4">
        <v>6</v>
      </c>
      <c r="I462" s="4">
        <v>5</v>
      </c>
      <c r="J462" s="4">
        <v>0</v>
      </c>
      <c r="K462" s="4">
        <v>0</v>
      </c>
      <c r="L462" s="15">
        <f t="shared" si="214"/>
        <v>5</v>
      </c>
      <c r="M462" s="25" t="str">
        <f t="shared" si="215"/>
        <v/>
      </c>
      <c r="N462" s="28"/>
    </row>
    <row r="463" spans="1:14">
      <c r="A463" s="4" t="s">
        <v>1188</v>
      </c>
      <c r="B463" s="4" t="s">
        <v>797</v>
      </c>
      <c r="C463" s="5">
        <f t="shared" si="216"/>
        <v>402</v>
      </c>
      <c r="D463" s="31"/>
      <c r="E463" s="32"/>
      <c r="F463" s="5" t="s">
        <v>776</v>
      </c>
      <c r="G463" s="5" t="s">
        <v>777</v>
      </c>
      <c r="H463" s="4">
        <v>5</v>
      </c>
      <c r="I463" s="4">
        <v>3</v>
      </c>
      <c r="J463" s="4">
        <v>0</v>
      </c>
      <c r="K463" s="4">
        <v>0</v>
      </c>
      <c r="L463" s="15">
        <f t="shared" si="214"/>
        <v>3</v>
      </c>
      <c r="M463" s="25" t="str">
        <f t="shared" si="215"/>
        <v/>
      </c>
      <c r="N463" s="28"/>
    </row>
    <row r="464" spans="1:14">
      <c r="A464" s="4" t="s">
        <v>1189</v>
      </c>
      <c r="B464" s="4" t="s">
        <v>801</v>
      </c>
      <c r="C464" s="5">
        <f t="shared" si="216"/>
        <v>403</v>
      </c>
      <c r="D464" s="31"/>
      <c r="E464" s="32"/>
      <c r="F464" s="5" t="s">
        <v>778</v>
      </c>
      <c r="G464" s="5" t="s">
        <v>779</v>
      </c>
      <c r="H464" s="4">
        <v>7</v>
      </c>
      <c r="I464" s="4">
        <v>4</v>
      </c>
      <c r="J464" s="4">
        <v>0</v>
      </c>
      <c r="K464" s="4">
        <v>0</v>
      </c>
      <c r="L464" s="15">
        <f t="shared" si="214"/>
        <v>4</v>
      </c>
      <c r="M464" s="25" t="str">
        <f t="shared" si="215"/>
        <v/>
      </c>
      <c r="N464" s="28"/>
    </row>
    <row r="465" spans="1:14">
      <c r="A465" s="4" t="s">
        <v>1190</v>
      </c>
      <c r="B465" s="4" t="s">
        <v>803</v>
      </c>
      <c r="C465" s="5">
        <f t="shared" si="216"/>
        <v>404</v>
      </c>
      <c r="D465" s="31"/>
      <c r="E465" s="32"/>
      <c r="F465" s="5" t="s">
        <v>778</v>
      </c>
      <c r="G465" s="5" t="s">
        <v>780</v>
      </c>
      <c r="H465" s="4">
        <v>6</v>
      </c>
      <c r="I465" s="4">
        <v>3</v>
      </c>
      <c r="J465" s="4">
        <v>0</v>
      </c>
      <c r="K465" s="4">
        <v>0</v>
      </c>
      <c r="L465" s="15">
        <f t="shared" si="214"/>
        <v>3</v>
      </c>
      <c r="M465" s="25" t="str">
        <f t="shared" si="215"/>
        <v/>
      </c>
      <c r="N465" s="28"/>
    </row>
    <row r="466" spans="1:14">
      <c r="A466" s="4" t="s">
        <v>1191</v>
      </c>
      <c r="B466" s="4" t="s">
        <v>799</v>
      </c>
      <c r="C466" s="5">
        <f t="shared" si="216"/>
        <v>405</v>
      </c>
      <c r="D466" s="31"/>
      <c r="E466" s="32"/>
      <c r="F466" s="5" t="s">
        <v>781</v>
      </c>
      <c r="G466" s="5" t="s">
        <v>782</v>
      </c>
      <c r="H466" s="4">
        <v>5</v>
      </c>
      <c r="I466" s="4">
        <v>5</v>
      </c>
      <c r="J466" s="4">
        <v>0</v>
      </c>
      <c r="K466" s="4">
        <v>0</v>
      </c>
      <c r="L466" s="15">
        <f t="shared" si="214"/>
        <v>5</v>
      </c>
      <c r="M466" s="25" t="str">
        <f t="shared" si="215"/>
        <v/>
      </c>
      <c r="N466" s="28"/>
    </row>
    <row r="467" spans="1:14">
      <c r="A467" s="4" t="s">
        <v>1192</v>
      </c>
      <c r="B467" s="4" t="s">
        <v>800</v>
      </c>
      <c r="C467" s="5">
        <f t="shared" si="216"/>
        <v>406</v>
      </c>
      <c r="D467" s="31"/>
      <c r="E467" s="32"/>
      <c r="F467" s="5" t="s">
        <v>783</v>
      </c>
      <c r="G467" s="5" t="s">
        <v>784</v>
      </c>
      <c r="H467" s="4">
        <v>0</v>
      </c>
      <c r="I467" s="4">
        <v>0</v>
      </c>
      <c r="J467" s="4">
        <v>0</v>
      </c>
      <c r="K467" s="4">
        <v>0</v>
      </c>
      <c r="L467" s="15">
        <f t="shared" si="214"/>
        <v>0</v>
      </c>
      <c r="M467" s="25" t="str">
        <f t="shared" si="215"/>
        <v>Case Not Received</v>
      </c>
      <c r="N467" s="28"/>
    </row>
    <row r="468" spans="1:14" ht="28.8">
      <c r="A468" s="4"/>
      <c r="B468" s="4"/>
      <c r="C468" s="5"/>
      <c r="D468" s="19"/>
      <c r="E468" s="6"/>
      <c r="F468" s="7" t="s">
        <v>32</v>
      </c>
      <c r="G468" s="7">
        <v>8</v>
      </c>
      <c r="H468" s="7">
        <f t="shared" ref="H468:L468" si="217">SUM(H460:H467)</f>
        <v>35</v>
      </c>
      <c r="I468" s="7">
        <f t="shared" si="217"/>
        <v>23</v>
      </c>
      <c r="J468" s="7">
        <f t="shared" si="217"/>
        <v>0</v>
      </c>
      <c r="K468" s="7">
        <f t="shared" si="217"/>
        <v>0</v>
      </c>
      <c r="L468" s="7">
        <f t="shared" si="217"/>
        <v>23</v>
      </c>
      <c r="M468" s="25"/>
      <c r="N468" s="28"/>
    </row>
    <row r="469" spans="1:14" ht="28.8">
      <c r="A469" s="4"/>
      <c r="B469" s="4"/>
      <c r="C469" s="5"/>
      <c r="D469" s="19"/>
      <c r="E469" s="9"/>
      <c r="F469" s="9" t="s">
        <v>121</v>
      </c>
      <c r="G469" s="9">
        <v>48</v>
      </c>
      <c r="H469" s="9">
        <f t="shared" ref="H469:L469" si="218">SUM(H468,H459,H453,H445,H438,H429,H419)</f>
        <v>317</v>
      </c>
      <c r="I469" s="9">
        <f t="shared" si="218"/>
        <v>173</v>
      </c>
      <c r="J469" s="9">
        <f t="shared" si="218"/>
        <v>0</v>
      </c>
      <c r="K469" s="9">
        <f t="shared" si="218"/>
        <v>0</v>
      </c>
      <c r="L469" s="9">
        <f t="shared" si="218"/>
        <v>173</v>
      </c>
      <c r="M469" s="25"/>
      <c r="N469" s="4"/>
    </row>
    <row r="470" spans="1:14" ht="15.6">
      <c r="A470" s="4"/>
      <c r="B470" s="4"/>
      <c r="C470" s="4"/>
      <c r="D470" s="13"/>
      <c r="E470" s="4"/>
      <c r="F470" s="14" t="s">
        <v>785</v>
      </c>
      <c r="G470" s="14">
        <v>406</v>
      </c>
      <c r="H470" s="17">
        <f>H469+H413+H359+H294+H213+H135+H70</f>
        <v>3411</v>
      </c>
      <c r="I470" s="17">
        <f t="shared" ref="I470:L470" si="219">I469+I413+I359+I294+I213+I135+I70</f>
        <v>1506</v>
      </c>
      <c r="J470" s="17">
        <f t="shared" si="219"/>
        <v>0</v>
      </c>
      <c r="K470" s="17">
        <f t="shared" si="219"/>
        <v>0</v>
      </c>
      <c r="L470" s="17">
        <f t="shared" si="219"/>
        <v>1506</v>
      </c>
      <c r="M470" s="25"/>
      <c r="N470" s="4"/>
    </row>
  </sheetData>
  <mergeCells count="114">
    <mergeCell ref="D71:D133"/>
    <mergeCell ref="E71:E75"/>
    <mergeCell ref="E77:E84"/>
    <mergeCell ref="E86:E89"/>
    <mergeCell ref="E91:E98"/>
    <mergeCell ref="E100:E105"/>
    <mergeCell ref="E107:E115"/>
    <mergeCell ref="E117:E123"/>
    <mergeCell ref="E125:E133"/>
    <mergeCell ref="D3:D68"/>
    <mergeCell ref="E3:E13"/>
    <mergeCell ref="E15:E17"/>
    <mergeCell ref="E19:E22"/>
    <mergeCell ref="E24:E31"/>
    <mergeCell ref="E33:E40"/>
    <mergeCell ref="E42:E50"/>
    <mergeCell ref="E52:E59"/>
    <mergeCell ref="E61:E68"/>
    <mergeCell ref="E226:E237"/>
    <mergeCell ref="E239:E246"/>
    <mergeCell ref="E248:E255"/>
    <mergeCell ref="E257:E263"/>
    <mergeCell ref="E265:E274"/>
    <mergeCell ref="E276:E282"/>
    <mergeCell ref="E284:E292"/>
    <mergeCell ref="D295:D357"/>
    <mergeCell ref="E295:E300"/>
    <mergeCell ref="E302:E308"/>
    <mergeCell ref="E310:E313"/>
    <mergeCell ref="E323:E326"/>
    <mergeCell ref="D136:D211"/>
    <mergeCell ref="E136:E144"/>
    <mergeCell ref="E146:E154"/>
    <mergeCell ref="E156:E159"/>
    <mergeCell ref="E161:E174"/>
    <mergeCell ref="E176:E180"/>
    <mergeCell ref="E182:E189"/>
    <mergeCell ref="E191:E198"/>
    <mergeCell ref="E200:E211"/>
    <mergeCell ref="N284:N293"/>
    <mergeCell ref="N295:N301"/>
    <mergeCell ref="D414:D467"/>
    <mergeCell ref="E414:E418"/>
    <mergeCell ref="E420:E428"/>
    <mergeCell ref="E430:E437"/>
    <mergeCell ref="E439:E444"/>
    <mergeCell ref="E446:E452"/>
    <mergeCell ref="E454:E458"/>
    <mergeCell ref="E460:E467"/>
    <mergeCell ref="D360:D411"/>
    <mergeCell ref="E360:E369"/>
    <mergeCell ref="E371:E378"/>
    <mergeCell ref="E380:E382"/>
    <mergeCell ref="E384:E390"/>
    <mergeCell ref="E392:E404"/>
    <mergeCell ref="E406:E411"/>
    <mergeCell ref="E315:E321"/>
    <mergeCell ref="E328:E334"/>
    <mergeCell ref="E336:E342"/>
    <mergeCell ref="E344:E350"/>
    <mergeCell ref="E352:E357"/>
    <mergeCell ref="D214:D292"/>
    <mergeCell ref="E214:E224"/>
    <mergeCell ref="N146:N155"/>
    <mergeCell ref="N156:N160"/>
    <mergeCell ref="N161:N175"/>
    <mergeCell ref="N176:N181"/>
    <mergeCell ref="N182:N190"/>
    <mergeCell ref="N191:N199"/>
    <mergeCell ref="N200:N212"/>
    <mergeCell ref="N214:N225"/>
    <mergeCell ref="N226:N238"/>
    <mergeCell ref="N392:N405"/>
    <mergeCell ref="N406:N412"/>
    <mergeCell ref="N414:N419"/>
    <mergeCell ref="N420:N429"/>
    <mergeCell ref="N430:N438"/>
    <mergeCell ref="N439:N445"/>
    <mergeCell ref="N446:N453"/>
    <mergeCell ref="N454:N459"/>
    <mergeCell ref="N460:N468"/>
    <mergeCell ref="N384:N391"/>
    <mergeCell ref="C1:N1"/>
    <mergeCell ref="N3:N14"/>
    <mergeCell ref="N15:N18"/>
    <mergeCell ref="N19:N23"/>
    <mergeCell ref="N24:N32"/>
    <mergeCell ref="N33:N41"/>
    <mergeCell ref="N42:N51"/>
    <mergeCell ref="N52:N60"/>
    <mergeCell ref="N61:N69"/>
    <mergeCell ref="N70:N76"/>
    <mergeCell ref="N77:N85"/>
    <mergeCell ref="N86:N90"/>
    <mergeCell ref="N91:N99"/>
    <mergeCell ref="N100:N106"/>
    <mergeCell ref="N107:N116"/>
    <mergeCell ref="N117:N124"/>
    <mergeCell ref="N125:N134"/>
    <mergeCell ref="N136:N145"/>
    <mergeCell ref="N239:N247"/>
    <mergeCell ref="N248:N256"/>
    <mergeCell ref="N257:N264"/>
    <mergeCell ref="N265:N275"/>
    <mergeCell ref="N276:N283"/>
    <mergeCell ref="N302:N314"/>
    <mergeCell ref="N315:N322"/>
    <mergeCell ref="N328:N335"/>
    <mergeCell ref="N336:N343"/>
    <mergeCell ref="N344:N351"/>
    <mergeCell ref="N352:N358"/>
    <mergeCell ref="N360:N370"/>
    <mergeCell ref="N371:N379"/>
    <mergeCell ref="N380:N383"/>
  </mergeCells>
  <conditionalFormatting sqref="C1:C1048576">
    <cfRule type="duplicateValues" dxfId="0" priority="1"/>
  </conditionalFormatting>
  <pageMargins left="0.25" right="0.25" top="0.75" bottom="0.75" header="0.3" footer="0.3"/>
  <pageSetup scale="60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F1C71-3FE7-4E01-9D48-E9CA8D136B61}">
  <sheetPr codeName="Sheet2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Chandan Malakar</cp:lastModifiedBy>
  <cp:lastPrinted>2026-09-02T04:17:50Z</cp:lastPrinted>
  <dcterms:created xsi:type="dcterms:W3CDTF">2025-01-02T03:43:06Z</dcterms:created>
  <dcterms:modified xsi:type="dcterms:W3CDTF">2026-09-02T04:18:59Z</dcterms:modified>
</cp:coreProperties>
</file>